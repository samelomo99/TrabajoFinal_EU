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a145a44d26729/Datos adjuntos/Universidad de los Andes/Tesis/TrabajoFinal_EU/script/"/>
    </mc:Choice>
  </mc:AlternateContent>
  <xr:revisionPtr revIDLastSave="0" documentId="8_{99B257C4-5DB6-40CE-AC15-B0E5DB9D896C}" xr6:coauthVersionLast="47" xr6:coauthVersionMax="47" xr10:uidLastSave="{00000000-0000-0000-0000-000000000000}"/>
  <bookViews>
    <workbookView xWindow="-105" yWindow="0" windowWidth="14610" windowHeight="15585" xr2:uid="{550C49C9-E9BF-4BB8-AC91-4088B5A5224A}"/>
  </bookViews>
  <sheets>
    <sheet name="data" sheetId="1" r:id="rId1"/>
    <sheet name="shift" sheetId="2" r:id="rId2"/>
    <sheet name="share" sheetId="3" r:id="rId3"/>
    <sheet name="localidades" sheetId="4" r:id="rId4"/>
    <sheet name="pob_bog" sheetId="5" r:id="rId5"/>
    <sheet name="migr" sheetId="6" r:id="rId6"/>
    <sheet name="def_hab" sheetId="7" r:id="rId7"/>
    <sheet name="ing_prom" sheetId="15" r:id="rId8"/>
  </sheets>
  <definedNames>
    <definedName name="_xlnm._FilterDatabase" localSheetId="0" hidden="1">data!$B$1:$G$1</definedName>
    <definedName name="_xlnm._FilterDatabase" localSheetId="3" hidden="1">localidades!$I$1:$K$1</definedName>
    <definedName name="_xlnm._FilterDatabase" localSheetId="5" hidden="1">migr!$N$1:$N$20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" i="1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" i="15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" i="7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" i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" i="6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D2" i="6" a="1"/>
  <c r="D2" i="6" s="1"/>
  <c r="D13" i="6" a="1"/>
  <c r="D13" i="6" s="1"/>
  <c r="D3" i="6" a="1"/>
  <c r="D3" i="6"/>
  <c r="D4" i="6" a="1"/>
  <c r="D4" i="6" s="1"/>
  <c r="D5" i="6" a="1"/>
  <c r="D5" i="6" s="1"/>
  <c r="D6" i="6" a="1"/>
  <c r="D6" i="6" s="1"/>
  <c r="D7" i="6" a="1"/>
  <c r="D7" i="6" s="1"/>
  <c r="D8" i="6" a="1"/>
  <c r="D8" i="6" s="1"/>
  <c r="D9" i="6" a="1"/>
  <c r="D9" i="6" s="1"/>
  <c r="D10" i="6" a="1"/>
  <c r="D10" i="6" s="1"/>
  <c r="D11" i="6" a="1"/>
  <c r="D11" i="6" s="1"/>
  <c r="D12" i="6" a="1"/>
  <c r="D12" i="6" s="1"/>
  <c r="D14" i="6" a="1"/>
  <c r="D14" i="6" s="1"/>
  <c r="D15" i="6" a="1"/>
  <c r="D15" i="6" s="1"/>
  <c r="D16" i="6" a="1"/>
  <c r="D16" i="6" s="1"/>
  <c r="D17" i="6" a="1"/>
  <c r="D17" i="6" s="1"/>
  <c r="D18" i="6" a="1"/>
  <c r="D18" i="6" s="1"/>
  <c r="D19" i="6" a="1"/>
  <c r="D19" i="6" s="1"/>
  <c r="D20" i="6" a="1"/>
  <c r="D20" i="6" s="1"/>
  <c r="D21" i="6" a="1"/>
  <c r="D21" i="6" s="1"/>
  <c r="D22" i="6" a="1"/>
  <c r="D22" i="6"/>
  <c r="D23" i="6" a="1"/>
  <c r="D23" i="6" s="1"/>
  <c r="D24" i="6" a="1"/>
  <c r="D24" i="6" s="1"/>
  <c r="D25" i="6" a="1"/>
  <c r="D25" i="6" s="1"/>
  <c r="D26" i="6" a="1"/>
  <c r="D26" i="6" s="1"/>
  <c r="D27" i="6" a="1"/>
  <c r="D27" i="6" s="1"/>
  <c r="D28" i="6" a="1"/>
  <c r="D28" i="6" s="1"/>
  <c r="D29" i="6" a="1"/>
  <c r="D29" i="6" s="1"/>
  <c r="D30" i="6" a="1"/>
  <c r="D30" i="6"/>
  <c r="D31" i="6" a="1"/>
  <c r="D31" i="6"/>
  <c r="D32" i="6" a="1"/>
  <c r="D32" i="6" s="1"/>
  <c r="D33" i="6" a="1"/>
  <c r="D33" i="6" s="1"/>
  <c r="D34" i="6" a="1"/>
  <c r="D34" i="6" s="1"/>
  <c r="D35" i="6" a="1"/>
  <c r="D35" i="6" s="1"/>
  <c r="D36" i="6" a="1"/>
  <c r="D36" i="6" s="1"/>
  <c r="D37" i="6" a="1"/>
  <c r="D37" i="6" s="1"/>
  <c r="D38" i="6" a="1"/>
  <c r="D38" i="6" s="1"/>
  <c r="D39" i="6" a="1"/>
  <c r="D39" i="6" s="1"/>
  <c r="D40" i="6" a="1"/>
  <c r="D40" i="6" s="1"/>
  <c r="D41" i="6" a="1"/>
  <c r="D41" i="6" s="1"/>
  <c r="D42" i="6" a="1"/>
  <c r="D42" i="6" s="1"/>
  <c r="D43" i="6" a="1"/>
  <c r="D43" i="6" s="1"/>
  <c r="D44" i="6" a="1"/>
  <c r="D44" i="6" s="1"/>
  <c r="D45" i="6" a="1"/>
  <c r="D45" i="6" s="1"/>
  <c r="D46" i="6" a="1"/>
  <c r="D46" i="6" s="1"/>
  <c r="D47" i="6" a="1"/>
  <c r="D47" i="6"/>
  <c r="D48" i="6" a="1"/>
  <c r="D48" i="6" s="1"/>
  <c r="D49" i="6" a="1"/>
  <c r="D49" i="6" s="1"/>
  <c r="D50" i="6" a="1"/>
  <c r="D50" i="6" s="1"/>
  <c r="D51" i="6" a="1"/>
  <c r="D51" i="6" s="1"/>
  <c r="D52" i="6" a="1"/>
  <c r="D52" i="6" s="1"/>
  <c r="D53" i="6" a="1"/>
  <c r="D53" i="6" s="1"/>
  <c r="D54" i="6" a="1"/>
  <c r="D54" i="6" s="1"/>
  <c r="D55" i="6" a="1"/>
  <c r="D55" i="6" s="1"/>
  <c r="D56" i="6" a="1"/>
  <c r="D56" i="6" s="1"/>
  <c r="D57" i="6" a="1"/>
  <c r="D57" i="6" s="1"/>
  <c r="D58" i="6" a="1"/>
  <c r="D58" i="6" s="1"/>
  <c r="D59" i="6" a="1"/>
  <c r="D59" i="6" s="1"/>
  <c r="D60" i="6" a="1"/>
  <c r="D60" i="6" s="1"/>
  <c r="D61" i="6" a="1"/>
  <c r="D61" i="6" s="1"/>
  <c r="D62" i="6" a="1"/>
  <c r="D62" i="6" s="1"/>
  <c r="D63" i="6" a="1"/>
  <c r="D63" i="6" s="1"/>
  <c r="D64" i="6" a="1"/>
  <c r="D64" i="6" s="1"/>
  <c r="D65" i="6" a="1"/>
  <c r="D65" i="6" s="1"/>
  <c r="D66" i="6" a="1"/>
  <c r="D66" i="6" s="1"/>
  <c r="D67" i="6" a="1"/>
  <c r="D67" i="6" s="1"/>
  <c r="D68" i="6" a="1"/>
  <c r="D68" i="6" s="1"/>
  <c r="D69" i="6" a="1"/>
  <c r="D69" i="6" s="1"/>
  <c r="D70" i="6" a="1"/>
  <c r="D70" i="6" s="1"/>
  <c r="D71" i="6" a="1"/>
  <c r="D71" i="6" s="1"/>
  <c r="D72" i="6" a="1"/>
  <c r="D72" i="6"/>
  <c r="D73" i="6" a="1"/>
  <c r="D73" i="6" s="1"/>
  <c r="D74" i="6" a="1"/>
  <c r="D74" i="6" s="1"/>
  <c r="D75" i="6" a="1"/>
  <c r="D75" i="6" s="1"/>
  <c r="D76" i="6" a="1"/>
  <c r="D76" i="6" s="1"/>
  <c r="D77" i="6" a="1"/>
  <c r="D77" i="6" s="1"/>
  <c r="D78" i="6" a="1"/>
  <c r="D78" i="6" s="1"/>
  <c r="D79" i="6" a="1"/>
  <c r="D79" i="6" s="1"/>
  <c r="D80" i="6" a="1"/>
  <c r="D80" i="6" s="1"/>
  <c r="D81" i="6" a="1"/>
  <c r="D81" i="6" s="1"/>
  <c r="D82" i="6" a="1"/>
  <c r="D82" i="6" s="1"/>
  <c r="D83" i="6" a="1"/>
  <c r="D83" i="6" s="1"/>
  <c r="D84" i="6" a="1"/>
  <c r="D84" i="6" s="1"/>
  <c r="D85" i="6" a="1"/>
  <c r="D85" i="6" s="1"/>
  <c r="D86" i="6" a="1"/>
  <c r="D86" i="6" s="1"/>
  <c r="D87" i="6" a="1"/>
  <c r="D87" i="6" s="1"/>
  <c r="D88" i="6" a="1"/>
  <c r="D88" i="6" s="1"/>
  <c r="D89" i="6" a="1"/>
  <c r="D89" i="6" s="1"/>
  <c r="D90" i="6" a="1"/>
  <c r="D90" i="6" s="1"/>
  <c r="D91" i="6" a="1"/>
  <c r="D91" i="6" s="1"/>
  <c r="D92" i="6" a="1"/>
  <c r="D92" i="6" s="1"/>
  <c r="D93" i="6" a="1"/>
  <c r="D93" i="6" s="1"/>
  <c r="D94" i="6" a="1"/>
  <c r="D94" i="6"/>
  <c r="D95" i="6" a="1"/>
  <c r="D95" i="6" s="1"/>
  <c r="D96" i="6" a="1"/>
  <c r="D96" i="6" s="1"/>
  <c r="D97" i="6" a="1"/>
  <c r="D97" i="6" s="1"/>
  <c r="D98" i="6" a="1"/>
  <c r="D98" i="6" s="1"/>
  <c r="D99" i="6" a="1"/>
  <c r="D99" i="6" s="1"/>
  <c r="D100" i="6" a="1"/>
  <c r="D100" i="6" s="1"/>
  <c r="D101" i="6" a="1"/>
  <c r="D101" i="6" s="1"/>
  <c r="D102" i="6" a="1"/>
  <c r="D102" i="6" s="1"/>
  <c r="D103" i="6" a="1"/>
  <c r="D103" i="6" s="1"/>
  <c r="D104" i="6" a="1"/>
  <c r="D104" i="6" s="1"/>
  <c r="D105" i="6" a="1"/>
  <c r="D105" i="6" s="1"/>
  <c r="D106" i="6" a="1"/>
  <c r="D106" i="6" s="1"/>
  <c r="D107" i="6" a="1"/>
  <c r="D107" i="6"/>
  <c r="D108" i="6" a="1"/>
  <c r="D108" i="6" s="1"/>
  <c r="D109" i="6" a="1"/>
  <c r="D109" i="6" s="1"/>
  <c r="D110" i="6" a="1"/>
  <c r="D110" i="6" s="1"/>
  <c r="D111" i="6" a="1"/>
  <c r="D111" i="6" s="1"/>
  <c r="D112" i="6" a="1"/>
  <c r="D112" i="6" s="1"/>
  <c r="D113" i="6" a="1"/>
  <c r="D113" i="6" s="1"/>
  <c r="D114" i="6" a="1"/>
  <c r="D114" i="6" s="1"/>
  <c r="D115" i="6" a="1"/>
  <c r="D115" i="6" s="1"/>
  <c r="D116" i="6" a="1"/>
  <c r="D116" i="6" s="1"/>
  <c r="D117" i="6" a="1"/>
  <c r="D117" i="6" s="1"/>
  <c r="D118" i="6" a="1"/>
  <c r="D118" i="6" s="1"/>
  <c r="D119" i="6" a="1"/>
  <c r="D119" i="6" s="1"/>
  <c r="D120" i="6" a="1"/>
  <c r="D120" i="6" s="1"/>
  <c r="D121" i="6" a="1"/>
  <c r="D121" i="6" s="1"/>
  <c r="D122" i="6" a="1"/>
  <c r="D122" i="6" s="1"/>
  <c r="D123" i="6" a="1"/>
  <c r="D123" i="6" s="1"/>
  <c r="D124" i="6" a="1"/>
  <c r="D124" i="6" s="1"/>
  <c r="D125" i="6" a="1"/>
  <c r="D125" i="6" s="1"/>
  <c r="D126" i="6" a="1"/>
  <c r="D126" i="6" s="1"/>
  <c r="D127" i="6" a="1"/>
  <c r="D127" i="6" s="1"/>
  <c r="D128" i="6" a="1"/>
  <c r="D128" i="6" s="1"/>
  <c r="D129" i="6" a="1"/>
  <c r="D129" i="6" s="1"/>
  <c r="D130" i="6" a="1"/>
  <c r="D130" i="6" s="1"/>
  <c r="D131" i="6" a="1"/>
  <c r="D131" i="6" s="1"/>
  <c r="D132" i="6" a="1"/>
  <c r="D132" i="6" s="1"/>
  <c r="D133" i="6" a="1"/>
  <c r="D133" i="6" s="1"/>
  <c r="D134" i="6" a="1"/>
  <c r="D134" i="6"/>
  <c r="D135" i="6" a="1"/>
  <c r="D135" i="6" s="1"/>
  <c r="D136" i="6" a="1"/>
  <c r="D136" i="6" s="1"/>
  <c r="D137" i="6" a="1"/>
  <c r="D137" i="6" s="1"/>
  <c r="D138" i="6" a="1"/>
  <c r="D138" i="6" s="1"/>
  <c r="D139" i="6" a="1"/>
  <c r="D139" i="6" s="1"/>
  <c r="D140" i="6" a="1"/>
  <c r="D140" i="6" s="1"/>
  <c r="D141" i="6" a="1"/>
  <c r="D141" i="6" s="1"/>
  <c r="D142" i="6" a="1"/>
  <c r="D142" i="6" s="1"/>
  <c r="D143" i="6" a="1"/>
  <c r="D143" i="6" s="1"/>
  <c r="D144" i="6" a="1"/>
  <c r="D144" i="6" s="1"/>
  <c r="D145" i="6" a="1"/>
  <c r="D145" i="6" s="1"/>
  <c r="D146" i="6" a="1"/>
  <c r="D146" i="6" s="1"/>
  <c r="D147" i="6" a="1"/>
  <c r="D147" i="6" s="1"/>
  <c r="D148" i="6" a="1"/>
  <c r="D148" i="6"/>
  <c r="D149" i="6" a="1"/>
  <c r="D149" i="6" s="1"/>
  <c r="D150" i="6" a="1"/>
  <c r="D150" i="6" s="1"/>
  <c r="D151" i="6" a="1"/>
  <c r="D151" i="6" s="1"/>
  <c r="D152" i="6" a="1"/>
  <c r="D152" i="6" s="1"/>
  <c r="D153" i="6" a="1"/>
  <c r="D153" i="6" s="1"/>
  <c r="D154" i="6" a="1"/>
  <c r="D154" i="6" s="1"/>
  <c r="D155" i="6" a="1"/>
  <c r="D155" i="6" s="1"/>
  <c r="D156" i="6" a="1"/>
  <c r="D156" i="6" s="1"/>
  <c r="D157" i="6" a="1"/>
  <c r="D157" i="6" s="1"/>
  <c r="D158" i="6" a="1"/>
  <c r="D158" i="6" s="1"/>
  <c r="D159" i="6" a="1"/>
  <c r="D159" i="6" s="1"/>
  <c r="D160" i="6" a="1"/>
  <c r="D160" i="6"/>
  <c r="D161" i="6" a="1"/>
  <c r="D161" i="6" s="1"/>
  <c r="D162" i="6" a="1"/>
  <c r="D162" i="6" s="1"/>
  <c r="D163" i="6" a="1"/>
  <c r="D163" i="6" s="1"/>
  <c r="D164" i="6" a="1"/>
  <c r="D164" i="6" s="1"/>
  <c r="D165" i="6" a="1"/>
  <c r="D165" i="6" s="1"/>
  <c r="D166" i="6" a="1"/>
  <c r="D166" i="6" s="1"/>
  <c r="D167" i="6" a="1"/>
  <c r="D167" i="6" s="1"/>
  <c r="D168" i="6" a="1"/>
  <c r="D168" i="6" s="1"/>
  <c r="D169" i="6" a="1"/>
  <c r="D169" i="6" s="1"/>
  <c r="D170" i="6" a="1"/>
  <c r="D170" i="6" s="1"/>
  <c r="D171" i="6" a="1"/>
  <c r="D171" i="6" s="1"/>
  <c r="D172" i="6" a="1"/>
  <c r="D172" i="6" s="1"/>
  <c r="D173" i="6" a="1"/>
  <c r="D173" i="6" s="1"/>
  <c r="D174" i="6" a="1"/>
  <c r="D174" i="6" s="1"/>
  <c r="D175" i="6" a="1"/>
  <c r="D175" i="6" s="1"/>
  <c r="D176" i="6" a="1"/>
  <c r="D176" i="6" s="1"/>
  <c r="D177" i="6" a="1"/>
  <c r="D177" i="6" s="1"/>
  <c r="D178" i="6" a="1"/>
  <c r="D178" i="6" s="1"/>
  <c r="D179" i="6" a="1"/>
  <c r="D179" i="6" s="1"/>
  <c r="D180" i="6" a="1"/>
  <c r="D180" i="6" s="1"/>
  <c r="D181" i="6" a="1"/>
  <c r="D181" i="6" s="1"/>
  <c r="D182" i="6" a="1"/>
  <c r="D182" i="6" s="1"/>
  <c r="D183" i="6" a="1"/>
  <c r="D183" i="6" s="1"/>
  <c r="D184" i="6" a="1"/>
  <c r="D184" i="6" s="1"/>
  <c r="D185" i="6" a="1"/>
  <c r="D185" i="6" s="1"/>
  <c r="D186" i="6" a="1"/>
  <c r="D186" i="6" s="1"/>
  <c r="D187" i="6" a="1"/>
  <c r="D187" i="6" s="1"/>
  <c r="D188" i="6" a="1"/>
  <c r="D188" i="6" s="1"/>
  <c r="D189" i="6" a="1"/>
  <c r="D189" i="6" s="1"/>
  <c r="D190" i="6" a="1"/>
  <c r="D190" i="6"/>
  <c r="D191" i="6" a="1"/>
  <c r="D191" i="6" s="1"/>
  <c r="D192" i="6" a="1"/>
  <c r="D192" i="6" s="1"/>
  <c r="D193" i="6" a="1"/>
  <c r="D193" i="6" s="1"/>
  <c r="D194" i="6" a="1"/>
  <c r="D194" i="6" s="1"/>
  <c r="D195" i="6" a="1"/>
  <c r="D195" i="6" s="1"/>
  <c r="D196" i="6" a="1"/>
  <c r="D196" i="6" s="1"/>
  <c r="D197" i="6" a="1"/>
  <c r="D197" i="6" s="1"/>
  <c r="D198" i="6" a="1"/>
  <c r="D198" i="6"/>
  <c r="D199" i="6" a="1"/>
  <c r="D199" i="6" s="1"/>
  <c r="D200" i="6" a="1"/>
  <c r="D200" i="6" s="1"/>
  <c r="D201" i="6" a="1"/>
  <c r="D201" i="6" s="1"/>
  <c r="D202" i="6" a="1"/>
  <c r="D202" i="6" s="1"/>
  <c r="D203" i="6" a="1"/>
  <c r="D203" i="6" s="1"/>
  <c r="D204" i="6" a="1"/>
  <c r="D204" i="6"/>
  <c r="D205" i="6" a="1"/>
  <c r="D205" i="6" s="1"/>
  <c r="D206" i="6" a="1"/>
  <c r="D206" i="6" s="1"/>
  <c r="D207" i="6" a="1"/>
  <c r="D207" i="6" s="1"/>
  <c r="D208" i="6" a="1"/>
  <c r="D208" i="6" s="1"/>
  <c r="D209" i="6" a="1"/>
  <c r="D209" i="6" s="1"/>
  <c r="D210" i="6" a="1"/>
  <c r="D210" i="6" s="1"/>
  <c r="C9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D206" i="1"/>
  <c r="F206" i="1" s="1"/>
  <c r="D207" i="1"/>
  <c r="F207" i="1" s="1"/>
  <c r="D208" i="1"/>
  <c r="F208" i="1" s="1"/>
  <c r="D209" i="1"/>
  <c r="F209" i="1" s="1"/>
  <c r="D210" i="1"/>
  <c r="F210" i="1" s="1"/>
  <c r="D2" i="1"/>
  <c r="F2" i="1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C4" i="2"/>
  <c r="C5" i="2"/>
  <c r="C6" i="2"/>
  <c r="C7" i="2"/>
  <c r="C8" i="2"/>
  <c r="C10" i="2"/>
  <c r="C11" i="2"/>
  <c r="C12" i="2"/>
  <c r="C13" i="2"/>
  <c r="C14" i="2"/>
  <c r="C15" i="2"/>
  <c r="C3" i="2"/>
  <c r="F205" i="1" l="1"/>
  <c r="F189" i="1"/>
  <c r="F173" i="1"/>
  <c r="F157" i="1"/>
  <c r="F141" i="1"/>
  <c r="F125" i="1"/>
  <c r="F109" i="1"/>
  <c r="F93" i="1"/>
  <c r="F77" i="1"/>
  <c r="F61" i="1"/>
  <c r="F45" i="1"/>
  <c r="F29" i="1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<sst xmlns="http://schemas.openxmlformats.org/spreadsheetml/2006/main" count="1056" uniqueCount="67">
  <si>
    <t>localidad</t>
  </si>
  <si>
    <t>year</t>
  </si>
  <si>
    <t>migr</t>
  </si>
  <si>
    <t>flujo_ven</t>
  </si>
  <si>
    <t>shift</t>
  </si>
  <si>
    <t>Kennedy</t>
  </si>
  <si>
    <t>Suba</t>
  </si>
  <si>
    <t>Engativá</t>
  </si>
  <si>
    <t>Ciudad Bolívar</t>
  </si>
  <si>
    <t>Bosa</t>
  </si>
  <si>
    <t>Usaquén</t>
  </si>
  <si>
    <t>San Cristóbal</t>
  </si>
  <si>
    <t>Usme</t>
  </si>
  <si>
    <t>Fontibón</t>
  </si>
  <si>
    <t>Puente Aranda</t>
  </si>
  <si>
    <t>Barrios Unidos</t>
  </si>
  <si>
    <t>Tunjuelito</t>
  </si>
  <si>
    <t>Teusaquillo</t>
  </si>
  <si>
    <t>Chapinero</t>
  </si>
  <si>
    <t>Antonio Nariño</t>
  </si>
  <si>
    <t>Santa Fe</t>
  </si>
  <si>
    <t>Los Mártires</t>
  </si>
  <si>
    <t>La Candelaria</t>
  </si>
  <si>
    <t>cod_loc</t>
  </si>
  <si>
    <t>loc</t>
  </si>
  <si>
    <t>pob_loc_2005</t>
  </si>
  <si>
    <t>Localidad</t>
  </si>
  <si>
    <t>pob_ven_2005</t>
  </si>
  <si>
    <t>share</t>
  </si>
  <si>
    <t>Rafael Uribe</t>
  </si>
  <si>
    <t>z</t>
  </si>
  <si>
    <t>lat</t>
  </si>
  <si>
    <t>lon</t>
  </si>
  <si>
    <t>pob_bog</t>
  </si>
  <si>
    <t>ANTONIO NARINO</t>
  </si>
  <si>
    <t>BARRIOS UNIDOS</t>
  </si>
  <si>
    <t>BOSA</t>
  </si>
  <si>
    <t>CANDELARIA</t>
  </si>
  <si>
    <t>CHAPINERO</t>
  </si>
  <si>
    <t>CIUDAD BOLIVAR</t>
  </si>
  <si>
    <t>ENGATIVA</t>
  </si>
  <si>
    <t>FONTIBON</t>
  </si>
  <si>
    <t>KENNEDY</t>
  </si>
  <si>
    <t>LOS MARTIRES</t>
  </si>
  <si>
    <t>PUENTE ARANDA</t>
  </si>
  <si>
    <t>RAFAEL URIBE URIBE</t>
  </si>
  <si>
    <t>SAN CRISTOBAL</t>
  </si>
  <si>
    <t>SANTA FE</t>
  </si>
  <si>
    <t>SUBA</t>
  </si>
  <si>
    <t>TEUSAQUILLO</t>
  </si>
  <si>
    <t>TUNJUELITO</t>
  </si>
  <si>
    <t>USAQUEN</t>
  </si>
  <si>
    <t>USME</t>
  </si>
  <si>
    <t>Column1</t>
  </si>
  <si>
    <t>Column2</t>
  </si>
  <si>
    <t>LOC</t>
  </si>
  <si>
    <t>per_loc_21</t>
  </si>
  <si>
    <t>ven_estimados</t>
  </si>
  <si>
    <t>longitud</t>
  </si>
  <si>
    <t>latitud</t>
  </si>
  <si>
    <t>ANTONIO NARIÃ‘O</t>
  </si>
  <si>
    <t>y</t>
  </si>
  <si>
    <t>def_rate</t>
  </si>
  <si>
    <t>aux</t>
  </si>
  <si>
    <t>Aux</t>
  </si>
  <si>
    <t>ing_prom</t>
  </si>
  <si>
    <t>Ciudad Bolí­var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</si>
</sst>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2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06FB-6D22-47CB-B4A6-094C3EF00B5E}">
  <dimension ref="A1:K210"/>
  <sheetViews>
    <sheetView tabSelected="1" topLeftCell="B1" workbookViewId="0">
      <selection activeCell="K2" sqref="K2"/>
    </sheetView>
  </sheetViews>
  <sheetFormatPr defaultRowHeight="15" x14ac:dyDescent="0.25"/>
  <cols>
    <col min="1" max="1" width="14.28515625" hidden="1" customWidth="1"/>
  </cols>
  <sheetData>
    <row r="1" spans="1:11" x14ac:dyDescent="0.25">
      <c r="A1" t="s">
        <v>63</v>
      </c>
      <c r="B1" t="s">
        <v>0</v>
      </c>
      <c r="C1" t="s">
        <v>1</v>
      </c>
      <c r="D1" t="s">
        <v>28</v>
      </c>
      <c r="E1" t="s">
        <v>4</v>
      </c>
      <c r="F1" t="s">
        <v>30</v>
      </c>
      <c r="G1" t="s">
        <v>2</v>
      </c>
      <c r="H1" t="s">
        <v>31</v>
      </c>
      <c r="I1" t="s">
        <v>32</v>
      </c>
      <c r="J1" t="s">
        <v>61</v>
      </c>
      <c r="K1" t="s">
        <v>65</v>
      </c>
    </row>
    <row r="2" spans="1:11" x14ac:dyDescent="0.25">
      <c r="A2" t="str">
        <f>B2&amp;C2</f>
        <v>Chapinero2014</v>
      </c>
      <c r="B2" t="s">
        <v>18</v>
      </c>
      <c r="C2">
        <v>2014</v>
      </c>
      <c r="D2" s="1">
        <f>VLOOKUP(B2,share!$A$1:$C$20,3,FALSE)</f>
        <v>0.17577319587628865</v>
      </c>
      <c r="E2" s="1">
        <f>VLOOKUP(C2,shift!$A$1:$C$15,3,FALSE)</f>
        <v>0.11099151046738065</v>
      </c>
      <c r="F2" s="1">
        <f>D2*E2</f>
        <v>1.9509332509988042E-2</v>
      </c>
      <c r="G2" s="2">
        <f>VLOOKUP(A2,migr!$A$1:$H$210,8,FALSE)</f>
        <v>0.15243188093701099</v>
      </c>
      <c r="H2" s="2">
        <f>VLOOKUP(B2,localidades!$B$1:$E$20,3,FALSE)</f>
        <v>-74.036938848703201</v>
      </c>
      <c r="I2" s="2">
        <f>VLOOKUP(B2,localidades!$H$1:$K$20,4,FALSE)</f>
        <v>4.64492441542754</v>
      </c>
      <c r="J2" s="1">
        <f>VLOOKUP(A2,def_hab!$A$1:$E$210,5,FALSE)</f>
        <v>4.3726925808876601E-3</v>
      </c>
      <c r="K2">
        <f>VLOOKUP(A2,ing_prom!$A$1:$D$229,4,FALSE)</f>
        <v>1173566.1810000001</v>
      </c>
    </row>
    <row r="3" spans="1:11" x14ac:dyDescent="0.25">
      <c r="A3" t="str">
        <f t="shared" ref="A3:A66" si="0">B3&amp;C3</f>
        <v>Teusaquillo2014</v>
      </c>
      <c r="B3" t="s">
        <v>17</v>
      </c>
      <c r="C3">
        <v>2014</v>
      </c>
      <c r="D3" s="1">
        <f>VLOOKUP(B3,share!$A$1:$C$20,3,FALSE)</f>
        <v>0.15068728522336769</v>
      </c>
      <c r="E3" s="1">
        <f>VLOOKUP(C3,shift!$A$1:$C$15,3,FALSE)</f>
        <v>0.11099151046738065</v>
      </c>
      <c r="F3" s="1">
        <f t="shared" ref="F3:F66" si="1">D3*E3</f>
        <v>1.672500939517059E-2</v>
      </c>
      <c r="G3" s="2">
        <f>VLOOKUP(A3,migr!$A$1:$H$210,8,FALSE)</f>
        <v>8.3273261951022706E-2</v>
      </c>
      <c r="H3" s="2">
        <f>VLOOKUP(B3,localidades!$B$1:$E$20,3,FALSE)</f>
        <v>-74.085768890680001</v>
      </c>
      <c r="I3" s="2">
        <f>VLOOKUP(B3,localidades!$H$1:$K$20,4,FALSE)</f>
        <v>4.6411735516069603</v>
      </c>
      <c r="J3" s="1">
        <f>VLOOKUP(A3,def_hab!$A$1:$E$210,5,FALSE)</f>
        <v>3.1444628534261999E-4</v>
      </c>
      <c r="K3">
        <f>VLOOKUP(A3,ing_prom!$A$1:$D$229,4,FALSE)</f>
        <v>2436551.5260000001</v>
      </c>
    </row>
    <row r="4" spans="1:11" x14ac:dyDescent="0.25">
      <c r="A4" t="str">
        <f t="shared" si="0"/>
        <v>Usaquén2014</v>
      </c>
      <c r="B4" t="s">
        <v>10</v>
      </c>
      <c r="C4">
        <v>2014</v>
      </c>
      <c r="D4" s="1">
        <f>VLOOKUP(B4,share!$A$1:$C$20,3,FALSE)</f>
        <v>0.14725085910652921</v>
      </c>
      <c r="E4" s="1">
        <f>VLOOKUP(C4,shift!$A$1:$C$15,3,FALSE)</f>
        <v>0.11099151046738065</v>
      </c>
      <c r="F4" s="1">
        <f t="shared" si="1"/>
        <v>1.6343595269853132E-2</v>
      </c>
      <c r="G4" s="2">
        <f>VLOOKUP(A4,migr!$A$1:$H$210,8,FALSE)</f>
        <v>0.73245974101658595</v>
      </c>
      <c r="H4" s="2">
        <f>VLOOKUP(B4,localidades!$B$1:$E$20,3,FALSE)</f>
        <v>-74.027882368779103</v>
      </c>
      <c r="I4" s="2">
        <f>VLOOKUP(B4,localidades!$H$1:$K$20,4,FALSE)</f>
        <v>4.7419260292461196</v>
      </c>
      <c r="J4" s="1">
        <f>VLOOKUP(A4,def_hab!$A$1:$E$210,5,FALSE)</f>
        <v>9.9860393144495501E-3</v>
      </c>
      <c r="K4">
        <f>VLOOKUP(A4,ing_prom!$A$1:$D$229,4,FALSE)</f>
        <v>1933691.5490000001</v>
      </c>
    </row>
    <row r="5" spans="1:11" x14ac:dyDescent="0.25">
      <c r="A5" t="str">
        <f t="shared" si="0"/>
        <v>Suba2014</v>
      </c>
      <c r="B5" t="s">
        <v>6</v>
      </c>
      <c r="C5">
        <v>2014</v>
      </c>
      <c r="D5" s="1">
        <f>VLOOKUP(B5,share!$A$1:$C$20,3,FALSE)</f>
        <v>0.10876288659793815</v>
      </c>
      <c r="E5" s="1">
        <f>VLOOKUP(C5,shift!$A$1:$C$15,3,FALSE)</f>
        <v>0.11099151046738065</v>
      </c>
      <c r="F5" s="1">
        <f t="shared" si="1"/>
        <v>1.2071757066297586E-2</v>
      </c>
      <c r="G5" s="2">
        <f>VLOOKUP(A5,migr!$A$1:$H$210,8,FALSE)</f>
        <v>1.4100969213688499</v>
      </c>
      <c r="H5" s="2">
        <f>VLOOKUP(B5,localidades!$B$1:$E$20,3,FALSE)</f>
        <v>-74.075845800487997</v>
      </c>
      <c r="I5" s="2">
        <f>VLOOKUP(B5,localidades!$H$1:$K$20,4,FALSE)</f>
        <v>4.76320652488001</v>
      </c>
      <c r="J5" s="1">
        <f>VLOOKUP(A5,def_hab!$A$1:$E$210,5,FALSE)</f>
        <v>2.0751456145237501E-2</v>
      </c>
      <c r="K5">
        <f>VLOOKUP(A5,ing_prom!$A$1:$D$229,4,FALSE)</f>
        <v>1347226.453</v>
      </c>
    </row>
    <row r="6" spans="1:11" x14ac:dyDescent="0.25">
      <c r="A6" t="str">
        <f t="shared" si="0"/>
        <v>Barrios Unidos2014</v>
      </c>
      <c r="B6" t="s">
        <v>15</v>
      </c>
      <c r="C6">
        <v>2014</v>
      </c>
      <c r="D6" s="1">
        <f>VLOOKUP(B6,share!$A$1:$C$20,3,FALSE)</f>
        <v>7.1993127147766317E-2</v>
      </c>
      <c r="E6" s="1">
        <f>VLOOKUP(C6,shift!$A$1:$C$15,3,FALSE)</f>
        <v>0.11099151046738065</v>
      </c>
      <c r="F6" s="1">
        <f t="shared" si="1"/>
        <v>7.9906259254007711E-3</v>
      </c>
      <c r="G6" s="2">
        <f>VLOOKUP(A6,migr!$A$1:$H$210,8,FALSE)</f>
        <v>0.107374946748517</v>
      </c>
      <c r="H6" s="2">
        <f>VLOOKUP(B6,localidades!$B$1:$E$20,3,FALSE)</f>
        <v>-74.073551677463399</v>
      </c>
      <c r="I6" s="2">
        <f>VLOOKUP(B6,localidades!$H$1:$K$20,4,FALSE)</f>
        <v>4.6695668454366004</v>
      </c>
      <c r="J6" s="1">
        <f>VLOOKUP(A6,def_hab!$A$1:$E$210,5,FALSE)</f>
        <v>7.4646705970998102E-3</v>
      </c>
      <c r="K6">
        <f>VLOOKUP(A6,ing_prom!$A$1:$D$229,4,FALSE)</f>
        <v>1334957.327</v>
      </c>
    </row>
    <row r="7" spans="1:11" x14ac:dyDescent="0.25">
      <c r="A7" t="str">
        <f t="shared" si="0"/>
        <v>Engativá2014</v>
      </c>
      <c r="B7" t="s">
        <v>7</v>
      </c>
      <c r="C7">
        <v>2014</v>
      </c>
      <c r="D7" s="1">
        <f>VLOOKUP(B7,share!$A$1:$C$20,3,FALSE)</f>
        <v>6.0309278350515465E-2</v>
      </c>
      <c r="E7" s="1">
        <f>VLOOKUP(C7,shift!$A$1:$C$15,3,FALSE)</f>
        <v>0.11099151046738065</v>
      </c>
      <c r="F7" s="1">
        <f t="shared" si="1"/>
        <v>6.6938178993214102E-3</v>
      </c>
      <c r="G7" s="2">
        <f>VLOOKUP(A7,migr!$A$1:$H$210,8,FALSE)</f>
        <v>0.79488055539848002</v>
      </c>
      <c r="H7" s="2">
        <f>VLOOKUP(B7,localidades!$B$1:$E$20,3,FALSE)</f>
        <v>-74.113187148077898</v>
      </c>
      <c r="I7" s="2">
        <f>VLOOKUP(B7,localidades!$H$1:$K$20,4,FALSE)</f>
        <v>4.70112526984326</v>
      </c>
      <c r="J7" s="1">
        <f>VLOOKUP(A7,def_hab!$A$1:$E$210,5,FALSE)</f>
        <v>1.63649239896334E-2</v>
      </c>
      <c r="K7">
        <f>VLOOKUP(A7,ing_prom!$A$1:$D$229,4,FALSE)</f>
        <v>449137.28610000003</v>
      </c>
    </row>
    <row r="8" spans="1:11" x14ac:dyDescent="0.25">
      <c r="A8" t="str">
        <f t="shared" si="0"/>
        <v>Fontibón2014</v>
      </c>
      <c r="B8" t="s">
        <v>13</v>
      </c>
      <c r="C8">
        <v>2014</v>
      </c>
      <c r="D8" s="1">
        <f>VLOOKUP(B8,share!$A$1:$C$20,3,FALSE)</f>
        <v>5.0171821305841927E-2</v>
      </c>
      <c r="E8" s="1">
        <f>VLOOKUP(C8,shift!$A$1:$C$15,3,FALSE)</f>
        <v>0.11099151046738065</v>
      </c>
      <c r="F8" s="1">
        <f t="shared" si="1"/>
        <v>5.5686462296349057E-3</v>
      </c>
      <c r="G8" s="2">
        <f>VLOOKUP(A8,migr!$A$1:$H$210,8,FALSE)</f>
        <v>0.34954370561868497</v>
      </c>
      <c r="H8" s="2">
        <f>VLOOKUP(B8,localidades!$B$1:$E$20,3,FALSE)</f>
        <v>-74.140150765275294</v>
      </c>
      <c r="I8" s="2">
        <f>VLOOKUP(B8,localidades!$H$1:$K$20,4,FALSE)</f>
        <v>4.6781827131162403</v>
      </c>
      <c r="J8" s="1">
        <f>VLOOKUP(A8,def_hab!$A$1:$E$210,5,FALSE)</f>
        <v>1.63303463701765E-2</v>
      </c>
      <c r="K8">
        <f>VLOOKUP(A8,ing_prom!$A$1:$D$229,4,FALSE)</f>
        <v>989776.64249999996</v>
      </c>
    </row>
    <row r="9" spans="1:11" x14ac:dyDescent="0.25">
      <c r="A9" t="str">
        <f t="shared" si="0"/>
        <v>Kennedy2014</v>
      </c>
      <c r="B9" t="s">
        <v>5</v>
      </c>
      <c r="C9">
        <v>2014</v>
      </c>
      <c r="D9" s="1">
        <f>VLOOKUP(B9,share!$A$1:$C$20,3,FALSE)</f>
        <v>4.6907216494845361E-2</v>
      </c>
      <c r="E9" s="1">
        <f>VLOOKUP(C9,shift!$A$1:$C$15,3,FALSE)</f>
        <v>0.11099151046738065</v>
      </c>
      <c r="F9" s="1">
        <f t="shared" si="1"/>
        <v>5.2063028105833195E-3</v>
      </c>
      <c r="G9" s="2">
        <f>VLOOKUP(A9,migr!$A$1:$H$210,8,FALSE)</f>
        <v>1.2157818689951401</v>
      </c>
      <c r="H9" s="2">
        <f>VLOOKUP(B9,localidades!$B$1:$E$20,3,FALSE)</f>
        <v>-74.152667580564398</v>
      </c>
      <c r="I9" s="2">
        <f>VLOOKUP(B9,localidades!$H$1:$K$20,4,FALSE)</f>
        <v>4.6303471220515098</v>
      </c>
      <c r="J9" s="1">
        <f>VLOOKUP(A9,def_hab!$A$1:$E$210,5,FALSE)</f>
        <v>2.6770479860882501E-2</v>
      </c>
      <c r="K9">
        <f>VLOOKUP(A9,ing_prom!$A$1:$D$229,4,FALSE)</f>
        <v>1236142.1669999999</v>
      </c>
    </row>
    <row r="10" spans="1:11" x14ac:dyDescent="0.25">
      <c r="A10" t="str">
        <f t="shared" si="0"/>
        <v>Antonio Nariño2014</v>
      </c>
      <c r="B10" t="s">
        <v>19</v>
      </c>
      <c r="C10">
        <v>2014</v>
      </c>
      <c r="D10" s="1">
        <f>VLOOKUP(B10,share!$A$1:$C$20,3,FALSE)</f>
        <v>2.7663230240549827E-2</v>
      </c>
      <c r="E10" s="1">
        <f>VLOOKUP(C10,shift!$A$1:$C$15,3,FALSE)</f>
        <v>0.11099151046738065</v>
      </c>
      <c r="F10" s="1">
        <f t="shared" si="1"/>
        <v>3.0703837088055471E-3</v>
      </c>
      <c r="G10" s="2">
        <f>VLOOKUP(A10,migr!$A$1:$H$210,8,FALSE)</f>
        <v>0.104240392031341</v>
      </c>
      <c r="H10" s="2">
        <f>VLOOKUP(B10,localidades!$B$1:$E$20,3,FALSE)</f>
        <v>-74.102842336786907</v>
      </c>
      <c r="I10" s="2">
        <f>VLOOKUP(B10,localidades!$H$1:$K$20,4,FALSE)</f>
        <v>4.5887707178273196</v>
      </c>
      <c r="J10" s="1">
        <f>VLOOKUP(A10,def_hab!$A$1:$E$210,5,FALSE)</f>
        <v>1.3621515739065599E-2</v>
      </c>
      <c r="K10">
        <f>VLOOKUP(A10,ing_prom!$A$1:$D$229,4,FALSE)</f>
        <v>890722.8872</v>
      </c>
    </row>
    <row r="11" spans="1:11" x14ac:dyDescent="0.25">
      <c r="A11" t="str">
        <f t="shared" si="0"/>
        <v>La Candelaria2014</v>
      </c>
      <c r="B11" t="s">
        <v>22</v>
      </c>
      <c r="C11">
        <v>2014</v>
      </c>
      <c r="D11" s="1">
        <f>VLOOKUP(B11,share!$A$1:$C$20,3,FALSE)</f>
        <v>8.4192439862542951E-3</v>
      </c>
      <c r="E11" s="1">
        <f>VLOOKUP(C11,shift!$A$1:$C$15,3,FALSE)</f>
        <v>0.11099151046738065</v>
      </c>
      <c r="F11" s="1">
        <f t="shared" si="1"/>
        <v>9.3446460702777514E-4</v>
      </c>
      <c r="G11" s="2">
        <f>VLOOKUP(A11,migr!$A$1:$H$210,8,FALSE)</f>
        <v>3.03356014616535E-2</v>
      </c>
      <c r="H11" s="2">
        <f>VLOOKUP(B11,localidades!$B$1:$E$20,3,FALSE)</f>
        <v>-74.072070819324594</v>
      </c>
      <c r="I11" s="2">
        <f>VLOOKUP(B11,localidades!$H$1:$K$20,4,FALSE)</f>
        <v>4.59660507502144</v>
      </c>
      <c r="J11" s="1">
        <f>VLOOKUP(A11,def_hab!$A$1:$E$210,5,FALSE)</f>
        <v>1.9083524784281099E-3</v>
      </c>
      <c r="K11">
        <f>VLOOKUP(A11,ing_prom!$A$1:$D$229,4,FALSE)</f>
        <v>730205.98080000002</v>
      </c>
    </row>
    <row r="12" spans="1:11" x14ac:dyDescent="0.25">
      <c r="A12" t="str">
        <f t="shared" si="0"/>
        <v>Santa Fe2014</v>
      </c>
      <c r="B12" t="s">
        <v>20</v>
      </c>
      <c r="C12">
        <v>2014</v>
      </c>
      <c r="D12" s="1">
        <f>VLOOKUP(B12,share!$A$1:$C$20,3,FALSE)</f>
        <v>1.5979381443298968E-2</v>
      </c>
      <c r="E12" s="1">
        <f>VLOOKUP(C12,shift!$A$1:$C$15,3,FALSE)</f>
        <v>0.11099151046738065</v>
      </c>
      <c r="F12" s="1">
        <f t="shared" si="1"/>
        <v>1.7735756827261856E-3</v>
      </c>
      <c r="G12" s="2">
        <f>VLOOKUP(A12,migr!$A$1:$H$210,8,FALSE)</f>
        <v>0.156616512961545</v>
      </c>
      <c r="H12" s="2">
        <f>VLOOKUP(B12,localidades!$B$1:$E$20,3,FALSE)</f>
        <v>-74.0362173927127</v>
      </c>
      <c r="I12" s="2">
        <f>VLOOKUP(B12,localidades!$H$1:$K$20,4,FALSE)</f>
        <v>4.5939727566360302</v>
      </c>
      <c r="J12" s="1">
        <f>VLOOKUP(A12,def_hab!$A$1:$E$210,5,FALSE)</f>
        <v>4.7367335935349697E-2</v>
      </c>
      <c r="K12">
        <f>VLOOKUP(A12,ing_prom!$A$1:$D$229,4,FALSE)</f>
        <v>738810.99719999998</v>
      </c>
    </row>
    <row r="13" spans="1:11" x14ac:dyDescent="0.25">
      <c r="A13" t="str">
        <f t="shared" si="0"/>
        <v>Puente Aranda2014</v>
      </c>
      <c r="B13" t="s">
        <v>14</v>
      </c>
      <c r="C13">
        <v>2014</v>
      </c>
      <c r="D13" s="1">
        <f>VLOOKUP(B13,share!$A$1:$C$20,3,FALSE)</f>
        <v>3.1786941580756012E-2</v>
      </c>
      <c r="E13" s="1">
        <f>VLOOKUP(C13,shift!$A$1:$C$15,3,FALSE)</f>
        <v>0.11099151046738065</v>
      </c>
      <c r="F13" s="1">
        <f t="shared" si="1"/>
        <v>3.5280806591864982E-3</v>
      </c>
      <c r="G13" s="2">
        <f>VLOOKUP(A13,migr!$A$1:$H$210,8,FALSE)</f>
        <v>0.122677096003401</v>
      </c>
      <c r="H13" s="2">
        <f>VLOOKUP(B13,localidades!$B$1:$E$20,3,FALSE)</f>
        <v>-74.111580402476093</v>
      </c>
      <c r="I13" s="2">
        <f>VLOOKUP(B13,localidades!$H$1:$K$20,4,FALSE)</f>
        <v>4.6162453592553296</v>
      </c>
      <c r="J13" s="1">
        <f>VLOOKUP(A13,def_hab!$A$1:$E$210,5,FALSE)</f>
        <v>1.32470699622898E-2</v>
      </c>
      <c r="K13">
        <f>VLOOKUP(A13,ing_prom!$A$1:$D$229,4,FALSE)</f>
        <v>884991.05059999996</v>
      </c>
    </row>
    <row r="14" spans="1:11" x14ac:dyDescent="0.25">
      <c r="A14" t="str">
        <f t="shared" si="0"/>
        <v>Los Mártires2014</v>
      </c>
      <c r="B14" t="s">
        <v>21</v>
      </c>
      <c r="C14">
        <v>2014</v>
      </c>
      <c r="D14" s="1">
        <f>VLOOKUP(B14,share!$A$1:$C$20,3,FALSE)</f>
        <v>1.5120274914089347E-2</v>
      </c>
      <c r="E14" s="1">
        <f>VLOOKUP(C14,shift!$A$1:$C$15,3,FALSE)</f>
        <v>0.11099151046738065</v>
      </c>
      <c r="F14" s="1">
        <f t="shared" si="1"/>
        <v>1.6782221513968209E-3</v>
      </c>
      <c r="G14" s="2">
        <f>VLOOKUP(A14,migr!$A$1:$H$210,8,FALSE)</f>
        <v>0.306002217324157</v>
      </c>
      <c r="H14" s="2">
        <f>VLOOKUP(B14,localidades!$B$1:$E$20,3,FALSE)</f>
        <v>-74.087947983810096</v>
      </c>
      <c r="I14" s="2">
        <f>VLOOKUP(B14,localidades!$H$1:$K$20,4,FALSE)</f>
        <v>4.6071559155114903</v>
      </c>
      <c r="J14" s="1">
        <f>VLOOKUP(A14,def_hab!$A$1:$E$210,5,FALSE)</f>
        <v>2.1684537853070899E-2</v>
      </c>
      <c r="K14">
        <f>VLOOKUP(A14,ing_prom!$A$1:$D$229,4,FALSE)</f>
        <v>853422.25430000003</v>
      </c>
    </row>
    <row r="15" spans="1:11" x14ac:dyDescent="0.25">
      <c r="A15" t="str">
        <f t="shared" si="0"/>
        <v>Tunjuelito2014</v>
      </c>
      <c r="B15" t="s">
        <v>16</v>
      </c>
      <c r="C15">
        <v>2014</v>
      </c>
      <c r="D15" s="1">
        <f>VLOOKUP(B15,share!$A$1:$C$20,3,FALSE)</f>
        <v>7.5601374570446736E-3</v>
      </c>
      <c r="E15" s="1">
        <f>VLOOKUP(C15,shift!$A$1:$C$15,3,FALSE)</f>
        <v>0.11099151046738065</v>
      </c>
      <c r="F15" s="1">
        <f t="shared" si="1"/>
        <v>8.3911107569841045E-4</v>
      </c>
      <c r="G15" s="2">
        <f>VLOOKUP(A15,migr!$A$1:$H$210,8,FALSE)</f>
        <v>0.22616289651115801</v>
      </c>
      <c r="H15" s="2">
        <f>VLOOKUP(B15,localidades!$B$1:$E$20,3,FALSE)</f>
        <v>-74.135989244733693</v>
      </c>
      <c r="I15" s="2">
        <f>VLOOKUP(B15,localidades!$H$1:$K$20,4,FALSE)</f>
        <v>4.5748411850953001</v>
      </c>
      <c r="J15" s="1">
        <f>VLOOKUP(A15,def_hab!$A$1:$E$210,5,FALSE)</f>
        <v>3.9350481789921898E-2</v>
      </c>
      <c r="K15">
        <f>VLOOKUP(A15,ing_prom!$A$1:$D$229,4,FALSE)</f>
        <v>692148.61930000002</v>
      </c>
    </row>
    <row r="16" spans="1:11" x14ac:dyDescent="0.25">
      <c r="A16" t="str">
        <f t="shared" si="0"/>
        <v>San Cristóbal2014</v>
      </c>
      <c r="B16" t="s">
        <v>11</v>
      </c>
      <c r="C16">
        <v>2014</v>
      </c>
      <c r="D16" s="1">
        <f>VLOOKUP(B16,share!$A$1:$C$20,3,FALSE)</f>
        <v>2.2508591065292096E-2</v>
      </c>
      <c r="E16" s="1">
        <f>VLOOKUP(C16,shift!$A$1:$C$15,3,FALSE)</f>
        <v>0.11099151046738065</v>
      </c>
      <c r="F16" s="1">
        <f t="shared" si="1"/>
        <v>2.4982625208293582E-3</v>
      </c>
      <c r="G16" s="2">
        <f>VLOOKUP(A16,migr!$A$1:$H$210,8,FALSE)</f>
        <v>0.21131414892619499</v>
      </c>
      <c r="H16" s="2">
        <f>VLOOKUP(B16,localidades!$B$1:$E$20,3,FALSE)</f>
        <v>-74.066072400776207</v>
      </c>
      <c r="I16" s="2">
        <f>VLOOKUP(B16,localidades!$H$1:$K$20,4,FALSE)</f>
        <v>4.5487488041769897</v>
      </c>
      <c r="J16" s="1">
        <f>VLOOKUP(A16,def_hab!$A$1:$E$210,5,FALSE)</f>
        <v>4.5944330859683302E-2</v>
      </c>
      <c r="K16">
        <f>VLOOKUP(A16,ing_prom!$A$1:$D$229,4,FALSE)</f>
        <v>531441.37849999999</v>
      </c>
    </row>
    <row r="17" spans="1:11" x14ac:dyDescent="0.25">
      <c r="A17" t="str">
        <f t="shared" si="0"/>
        <v>Rafael Uribe2014</v>
      </c>
      <c r="B17" t="s">
        <v>29</v>
      </c>
      <c r="C17">
        <v>2014</v>
      </c>
      <c r="D17" s="1">
        <f>VLOOKUP(B17,share!$A$1:$C$20,3,FALSE)</f>
        <v>1.9243986254295534E-2</v>
      </c>
      <c r="E17" s="1">
        <f>VLOOKUP(C17,shift!$A$1:$C$15,3,FALSE)</f>
        <v>0.11099151046738065</v>
      </c>
      <c r="F17" s="1">
        <f t="shared" si="1"/>
        <v>2.135919101777772E-3</v>
      </c>
      <c r="G17" s="2">
        <f>VLOOKUP(A17,migr!$A$1:$H$210,8,FALSE)</f>
        <v>0.47406682020673402</v>
      </c>
      <c r="H17" s="2">
        <f>VLOOKUP(B17,localidades!$B$1:$E$20,3,FALSE)</f>
        <v>-74.113363102222095</v>
      </c>
      <c r="I17" s="2">
        <f>VLOOKUP(B17,localidades!$H$1:$K$20,4,FALSE)</f>
        <v>4.5664766672516102</v>
      </c>
      <c r="J17" s="1">
        <f>VLOOKUP(A17,def_hab!$A$1:$E$210,5,FALSE)</f>
        <v>4.0873367142652203E-2</v>
      </c>
      <c r="K17">
        <f>VLOOKUP(A17,ing_prom!$A$1:$D$229,4,FALSE)</f>
        <v>601451.04870000004</v>
      </c>
    </row>
    <row r="18" spans="1:11" x14ac:dyDescent="0.25">
      <c r="A18" t="str">
        <f t="shared" si="0"/>
        <v>Ciudad Bolívar2014</v>
      </c>
      <c r="B18" t="s">
        <v>8</v>
      </c>
      <c r="C18">
        <v>2014</v>
      </c>
      <c r="D18" s="1">
        <f>VLOOKUP(B18,share!$A$1:$C$20,3,FALSE)</f>
        <v>6.7010309278350512E-3</v>
      </c>
      <c r="E18" s="1">
        <f>VLOOKUP(C18,shift!$A$1:$C$15,3,FALSE)</f>
        <v>0.11099151046738065</v>
      </c>
      <c r="F18" s="1">
        <f t="shared" si="1"/>
        <v>7.4375754436904556E-4</v>
      </c>
      <c r="G18" s="2">
        <f>VLOOKUP(A18,migr!$A$1:$H$210,8,FALSE)</f>
        <v>0.78531189440677196</v>
      </c>
      <c r="H18" s="2">
        <f>VLOOKUP(B18,localidades!$B$1:$E$20,3,FALSE)</f>
        <v>-74.161960022510598</v>
      </c>
      <c r="I18" s="2">
        <f>VLOOKUP(B18,localidades!$H$1:$K$20,4,FALSE)</f>
        <v>4.48245576116999</v>
      </c>
      <c r="J18" s="1">
        <f>VLOOKUP(A18,def_hab!$A$1:$E$210,5,FALSE)</f>
        <v>6.1635418519990902E-2</v>
      </c>
      <c r="K18" t="e">
        <f>VLOOKUP(A18,ing_prom!$A$1:$D$229,4,FALSE)</f>
        <v>#N/A</v>
      </c>
    </row>
    <row r="19" spans="1:11" x14ac:dyDescent="0.25">
      <c r="A19" t="str">
        <f t="shared" si="0"/>
        <v>Usme2014</v>
      </c>
      <c r="B19" t="s">
        <v>12</v>
      </c>
      <c r="C19">
        <v>2014</v>
      </c>
      <c r="D19" s="1">
        <f>VLOOKUP(B19,share!$A$1:$C$20,3,FALSE)</f>
        <v>7.2164948453608251E-3</v>
      </c>
      <c r="E19" s="1">
        <f>VLOOKUP(C19,shift!$A$1:$C$15,3,FALSE)</f>
        <v>0.11099151046738065</v>
      </c>
      <c r="F19" s="1">
        <f t="shared" si="1"/>
        <v>8.0096966316666449E-4</v>
      </c>
      <c r="G19" s="2">
        <f>VLOOKUP(A19,migr!$A$1:$H$210,8,FALSE)</f>
        <v>0.44752382727191198</v>
      </c>
      <c r="H19" s="2">
        <f>VLOOKUP(B19,localidades!$B$1:$E$20,3,FALSE)</f>
        <v>-74.142812024697704</v>
      </c>
      <c r="I19" s="2">
        <f>VLOOKUP(B19,localidades!$H$1:$K$20,4,FALSE)</f>
        <v>4.3900190318873902</v>
      </c>
      <c r="J19" s="1">
        <f>VLOOKUP(A19,def_hab!$A$1:$E$210,5,FALSE)</f>
        <v>6.0490156441337699E-2</v>
      </c>
      <c r="K19">
        <f>VLOOKUP(A19,ing_prom!$A$1:$D$229,4,FALSE)</f>
        <v>428088.8823</v>
      </c>
    </row>
    <row r="20" spans="1:11" x14ac:dyDescent="0.25">
      <c r="A20" t="str">
        <f t="shared" si="0"/>
        <v>Bosa2014</v>
      </c>
      <c r="B20" t="s">
        <v>9</v>
      </c>
      <c r="C20">
        <v>2014</v>
      </c>
      <c r="D20" s="1">
        <f>VLOOKUP(B20,share!$A$1:$C$20,3,FALSE)</f>
        <v>2.5945017182130586E-2</v>
      </c>
      <c r="E20" s="1">
        <f>VLOOKUP(C20,shift!$A$1:$C$15,3,FALSE)</f>
        <v>0.11099151046738065</v>
      </c>
      <c r="F20" s="1">
        <f t="shared" si="1"/>
        <v>2.8796766461468178E-3</v>
      </c>
      <c r="G20" s="2">
        <f>VLOOKUP(A20,migr!$A$1:$H$210,8,FALSE)</f>
        <v>0.77129487152976095</v>
      </c>
      <c r="H20" s="2">
        <f>VLOOKUP(B20,localidades!$B$1:$E$20,3,FALSE)</f>
        <v>-74.194388716263504</v>
      </c>
      <c r="I20" s="2">
        <f>VLOOKUP(B20,localidades!$H$1:$K$20,4,FALSE)</f>
        <v>4.6217797878632698</v>
      </c>
      <c r="J20" s="1">
        <f>VLOOKUP(A20,def_hab!$A$1:$E$210,5,FALSE)</f>
        <v>4.42116268206664E-2</v>
      </c>
      <c r="K20">
        <f>VLOOKUP(A20,ing_prom!$A$1:$D$229,4,FALSE)</f>
        <v>498088.38669999997</v>
      </c>
    </row>
    <row r="21" spans="1:11" x14ac:dyDescent="0.25">
      <c r="A21" t="str">
        <f t="shared" si="0"/>
        <v>Chapinero2015</v>
      </c>
      <c r="B21" t="s">
        <v>18</v>
      </c>
      <c r="C21">
        <v>2015</v>
      </c>
      <c r="D21" s="1">
        <f>VLOOKUP(B21,share!$A$1:$C$20,3,FALSE)</f>
        <v>0.17577319587628865</v>
      </c>
      <c r="E21" s="1">
        <f>VLOOKUP(C21,shift!$A$1:$C$15,3,FALSE)</f>
        <v>0.1261721438035146</v>
      </c>
      <c r="F21" s="1">
        <f t="shared" si="1"/>
        <v>2.217768094690643E-2</v>
      </c>
      <c r="G21" s="2">
        <f>VLOOKUP(A21,migr!$A$1:$H$210,8,FALSE)</f>
        <v>0.17120101600776799</v>
      </c>
      <c r="H21" s="2">
        <f>VLOOKUP(B21,localidades!$B$1:$E$20,3,FALSE)</f>
        <v>-74.036938848703201</v>
      </c>
      <c r="I21" s="2">
        <f>VLOOKUP(B21,localidades!$H$1:$K$20,4,FALSE)</f>
        <v>4.64492441542754</v>
      </c>
      <c r="J21" s="1">
        <f>VLOOKUP(A21,def_hab!$A$1:$E$210,5,FALSE)</f>
        <v>4.2570549912569304E-3</v>
      </c>
      <c r="K21">
        <f>VLOOKUP(A21,ing_prom!$A$1:$D$229,4,FALSE)</f>
        <v>1253016.6114537001</v>
      </c>
    </row>
    <row r="22" spans="1:11" x14ac:dyDescent="0.25">
      <c r="A22" t="str">
        <f t="shared" si="0"/>
        <v>Teusaquillo2015</v>
      </c>
      <c r="B22" t="s">
        <v>17</v>
      </c>
      <c r="C22">
        <v>2015</v>
      </c>
      <c r="D22" s="1">
        <f>VLOOKUP(B22,share!$A$1:$C$20,3,FALSE)</f>
        <v>0.15068728522336769</v>
      </c>
      <c r="E22" s="1">
        <f>VLOOKUP(C22,shift!$A$1:$C$15,3,FALSE)</f>
        <v>0.1261721438035146</v>
      </c>
      <c r="F22" s="1">
        <f t="shared" si="1"/>
        <v>1.901253782056397E-2</v>
      </c>
      <c r="G22" s="2">
        <f>VLOOKUP(A22,migr!$A$1:$H$210,8,FALSE)</f>
        <v>9.3526806627724002E-2</v>
      </c>
      <c r="H22" s="2">
        <f>VLOOKUP(B22,localidades!$B$1:$E$20,3,FALSE)</f>
        <v>-74.085768890680001</v>
      </c>
      <c r="I22" s="2">
        <f>VLOOKUP(B22,localidades!$H$1:$K$20,4,FALSE)</f>
        <v>4.6411735516069603</v>
      </c>
      <c r="J22" s="1">
        <f>VLOOKUP(A22,def_hab!$A$1:$E$210,5,FALSE)</f>
        <v>3.0613062860876102E-4</v>
      </c>
      <c r="K22">
        <f>VLOOKUP(A22,ing_prom!$A$1:$D$229,4,FALSE)</f>
        <v>2601506.0643102</v>
      </c>
    </row>
    <row r="23" spans="1:11" x14ac:dyDescent="0.25">
      <c r="A23" t="str">
        <f t="shared" si="0"/>
        <v>Usaquén2015</v>
      </c>
      <c r="B23" t="s">
        <v>10</v>
      </c>
      <c r="C23">
        <v>2015</v>
      </c>
      <c r="D23" s="1">
        <f>VLOOKUP(B23,share!$A$1:$C$20,3,FALSE)</f>
        <v>0.14725085910652921</v>
      </c>
      <c r="E23" s="1">
        <f>VLOOKUP(C23,shift!$A$1:$C$15,3,FALSE)</f>
        <v>0.1261721438035146</v>
      </c>
      <c r="F23" s="1">
        <f t="shared" si="1"/>
        <v>1.857895657038007E-2</v>
      </c>
      <c r="G23" s="2">
        <f>VLOOKUP(A23,migr!$A$1:$H$210,8,FALSE)</f>
        <v>0.82264845828835298</v>
      </c>
      <c r="H23" s="2">
        <f>VLOOKUP(B23,localidades!$B$1:$E$20,3,FALSE)</f>
        <v>-74.027882368779103</v>
      </c>
      <c r="I23" s="2">
        <f>VLOOKUP(B23,localidades!$H$1:$K$20,4,FALSE)</f>
        <v>4.7419260292461196</v>
      </c>
      <c r="J23" s="1">
        <f>VLOOKUP(A23,def_hab!$A$1:$E$210,5,FALSE)</f>
        <v>9.7219545440433604E-3</v>
      </c>
      <c r="K23">
        <f>VLOOKUP(A23,ing_prom!$A$1:$D$229,4,FALSE)</f>
        <v>2064602.4668673</v>
      </c>
    </row>
    <row r="24" spans="1:11" x14ac:dyDescent="0.25">
      <c r="A24" t="str">
        <f t="shared" si="0"/>
        <v>Suba2015</v>
      </c>
      <c r="B24" t="s">
        <v>6</v>
      </c>
      <c r="C24">
        <v>2015</v>
      </c>
      <c r="D24" s="1">
        <f>VLOOKUP(B24,share!$A$1:$C$20,3,FALSE)</f>
        <v>0.10876288659793815</v>
      </c>
      <c r="E24" s="1">
        <f>VLOOKUP(C24,shift!$A$1:$C$15,3,FALSE)</f>
        <v>0.1261721438035146</v>
      </c>
      <c r="F24" s="1">
        <f t="shared" si="1"/>
        <v>1.3722846568320403E-2</v>
      </c>
      <c r="G24" s="2">
        <f>VLOOKUP(A24,migr!$A$1:$H$210,8,FALSE)</f>
        <v>1.5837239829608201</v>
      </c>
      <c r="H24" s="2">
        <f>VLOOKUP(B24,localidades!$B$1:$E$20,3,FALSE)</f>
        <v>-74.075845800487997</v>
      </c>
      <c r="I24" s="2">
        <f>VLOOKUP(B24,localidades!$H$1:$K$20,4,FALSE)</f>
        <v>4.76320652488001</v>
      </c>
      <c r="J24" s="1">
        <f>VLOOKUP(A24,def_hab!$A$1:$E$210,5,FALSE)</f>
        <v>2.02026756568832E-2</v>
      </c>
      <c r="K24">
        <f>VLOOKUP(A24,ing_prom!$A$1:$D$229,4,FALSE)</f>
        <v>1438433.6838680999</v>
      </c>
    </row>
    <row r="25" spans="1:11" x14ac:dyDescent="0.25">
      <c r="A25" t="str">
        <f t="shared" si="0"/>
        <v>Barrios Unidos2015</v>
      </c>
      <c r="B25" t="s">
        <v>15</v>
      </c>
      <c r="C25">
        <v>2015</v>
      </c>
      <c r="D25" s="1">
        <f>VLOOKUP(B25,share!$A$1:$C$20,3,FALSE)</f>
        <v>7.1993127147766317E-2</v>
      </c>
      <c r="E25" s="1">
        <f>VLOOKUP(C25,shift!$A$1:$C$15,3,FALSE)</f>
        <v>0.1261721438035146</v>
      </c>
      <c r="F25" s="1">
        <f t="shared" si="1"/>
        <v>9.0835271913526829E-3</v>
      </c>
      <c r="G25" s="2">
        <f>VLOOKUP(A25,migr!$A$1:$H$210,8,FALSE)</f>
        <v>0.120596163113163</v>
      </c>
      <c r="H25" s="2">
        <f>VLOOKUP(B25,localidades!$B$1:$E$20,3,FALSE)</f>
        <v>-74.073551677463399</v>
      </c>
      <c r="I25" s="2">
        <f>VLOOKUP(B25,localidades!$H$1:$K$20,4,FALSE)</f>
        <v>4.6695668454366004</v>
      </c>
      <c r="J25" s="1">
        <f>VLOOKUP(A25,def_hab!$A$1:$E$210,5,FALSE)</f>
        <v>7.26726442246754E-3</v>
      </c>
      <c r="K25">
        <f>VLOOKUP(A25,ing_prom!$A$1:$D$229,4,FALSE)</f>
        <v>1425333.9380379</v>
      </c>
    </row>
    <row r="26" spans="1:11" x14ac:dyDescent="0.25">
      <c r="A26" t="str">
        <f t="shared" si="0"/>
        <v>Engativá2015</v>
      </c>
      <c r="B26" t="s">
        <v>7</v>
      </c>
      <c r="C26">
        <v>2015</v>
      </c>
      <c r="D26" s="1">
        <f>VLOOKUP(B26,share!$A$1:$C$20,3,FALSE)</f>
        <v>6.0309278350515465E-2</v>
      </c>
      <c r="E26" s="1">
        <f>VLOOKUP(C26,shift!$A$1:$C$15,3,FALSE)</f>
        <v>0.1261721438035146</v>
      </c>
      <c r="F26" s="1">
        <f t="shared" si="1"/>
        <v>7.6093509407274273E-3</v>
      </c>
      <c r="G26" s="2">
        <f>VLOOKUP(A26,migr!$A$1:$H$210,8,FALSE)</f>
        <v>0.89275522845035504</v>
      </c>
      <c r="H26" s="2">
        <f>VLOOKUP(B26,localidades!$B$1:$E$20,3,FALSE)</f>
        <v>-74.113187148077898</v>
      </c>
      <c r="I26" s="2">
        <f>VLOOKUP(B26,localidades!$H$1:$K$20,4,FALSE)</f>
        <v>4.70112526984326</v>
      </c>
      <c r="J26" s="1">
        <f>VLOOKUP(A26,def_hab!$A$1:$E$210,5,FALSE)</f>
        <v>1.5932147083952301E-2</v>
      </c>
      <c r="K26">
        <f>VLOOKUP(A26,ing_prom!$A$1:$D$229,4,FALSE)</f>
        <v>479543.88036896999</v>
      </c>
    </row>
    <row r="27" spans="1:11" x14ac:dyDescent="0.25">
      <c r="A27" t="str">
        <f t="shared" si="0"/>
        <v>Fontibón2015</v>
      </c>
      <c r="B27" t="s">
        <v>13</v>
      </c>
      <c r="C27">
        <v>2015</v>
      </c>
      <c r="D27" s="1">
        <f>VLOOKUP(B27,share!$A$1:$C$20,3,FALSE)</f>
        <v>5.0171821305841927E-2</v>
      </c>
      <c r="E27" s="1">
        <f>VLOOKUP(C27,shift!$A$1:$C$15,3,FALSE)</f>
        <v>0.1261721438035146</v>
      </c>
      <c r="F27" s="1">
        <f t="shared" si="1"/>
        <v>6.3302862526849251E-3</v>
      </c>
      <c r="G27" s="2">
        <f>VLOOKUP(A27,migr!$A$1:$H$210,8,FALSE)</f>
        <v>0.39258347514433201</v>
      </c>
      <c r="H27" s="2">
        <f>VLOOKUP(B27,localidades!$B$1:$E$20,3,FALSE)</f>
        <v>-74.140150765275294</v>
      </c>
      <c r="I27" s="2">
        <f>VLOOKUP(B27,localidades!$H$1:$K$20,4,FALSE)</f>
        <v>4.6781827131162403</v>
      </c>
      <c r="J27" s="1">
        <f>VLOOKUP(A27,def_hab!$A$1:$E$210,5,FALSE)</f>
        <v>1.58984838833564E-2</v>
      </c>
      <c r="K27">
        <f>VLOOKUP(A27,ing_prom!$A$1:$D$229,4,FALSE)</f>
        <v>1056784.5211972501</v>
      </c>
    </row>
    <row r="28" spans="1:11" x14ac:dyDescent="0.25">
      <c r="A28" t="str">
        <f t="shared" si="0"/>
        <v>Kennedy2015</v>
      </c>
      <c r="B28" t="s">
        <v>5</v>
      </c>
      <c r="C28">
        <v>2015</v>
      </c>
      <c r="D28" s="1">
        <f>VLOOKUP(B28,share!$A$1:$C$20,3,FALSE)</f>
        <v>4.6907216494845361E-2</v>
      </c>
      <c r="E28" s="1">
        <f>VLOOKUP(C28,shift!$A$1:$C$15,3,FALSE)</f>
        <v>0.1261721438035146</v>
      </c>
      <c r="F28" s="1">
        <f t="shared" si="1"/>
        <v>5.9183840650102208E-3</v>
      </c>
      <c r="G28" s="2">
        <f>VLOOKUP(A28,migr!$A$1:$H$210,8,FALSE)</f>
        <v>1.3654826663314701</v>
      </c>
      <c r="H28" s="2">
        <f>VLOOKUP(B28,localidades!$B$1:$E$20,3,FALSE)</f>
        <v>-74.152667580564398</v>
      </c>
      <c r="I28" s="2">
        <f>VLOOKUP(B28,localidades!$H$1:$K$20,4,FALSE)</f>
        <v>4.6303471220515098</v>
      </c>
      <c r="J28" s="1">
        <f>VLOOKUP(A28,def_hab!$A$1:$E$210,5,FALSE)</f>
        <v>2.6062523903058899E-2</v>
      </c>
      <c r="K28">
        <f>VLOOKUP(A28,ing_prom!$A$1:$D$229,4,FALSE)</f>
        <v>1319828.9917059001</v>
      </c>
    </row>
    <row r="29" spans="1:11" x14ac:dyDescent="0.25">
      <c r="A29" t="str">
        <f t="shared" si="0"/>
        <v>Antonio Nariño2015</v>
      </c>
      <c r="B29" t="s">
        <v>19</v>
      </c>
      <c r="C29">
        <v>2015</v>
      </c>
      <c r="D29" s="1">
        <f>VLOOKUP(B29,share!$A$1:$C$20,3,FALSE)</f>
        <v>2.7663230240549827E-2</v>
      </c>
      <c r="E29" s="1">
        <f>VLOOKUP(C29,shift!$A$1:$C$15,3,FALSE)</f>
        <v>0.1261721438035146</v>
      </c>
      <c r="F29" s="1">
        <f t="shared" si="1"/>
        <v>3.4903290639803864E-3</v>
      </c>
      <c r="G29" s="2">
        <f>VLOOKUP(A29,migr!$A$1:$H$210,8,FALSE)</f>
        <v>0.117075646610882</v>
      </c>
      <c r="H29" s="2">
        <f>VLOOKUP(B29,localidades!$B$1:$E$20,3,FALSE)</f>
        <v>-74.102842336786907</v>
      </c>
      <c r="I29" s="2">
        <f>VLOOKUP(B29,localidades!$H$1:$K$20,4,FALSE)</f>
        <v>4.5887707178273196</v>
      </c>
      <c r="J29" s="1">
        <f>VLOOKUP(A29,def_hab!$A$1:$E$210,5,FALSE)</f>
        <v>1.32612893526814E-2</v>
      </c>
      <c r="K29">
        <f>VLOOKUP(A29,ing_prom!$A$1:$D$229,4,FALSE)</f>
        <v>951024.82666343998</v>
      </c>
    </row>
    <row r="30" spans="1:11" x14ac:dyDescent="0.25">
      <c r="A30" t="str">
        <f t="shared" si="0"/>
        <v>La Candelaria2015</v>
      </c>
      <c r="B30" t="s">
        <v>22</v>
      </c>
      <c r="C30">
        <v>2015</v>
      </c>
      <c r="D30" s="1">
        <f>VLOOKUP(B30,share!$A$1:$C$20,3,FALSE)</f>
        <v>8.4192439862542951E-3</v>
      </c>
      <c r="E30" s="1">
        <f>VLOOKUP(C30,shift!$A$1:$C$15,3,FALSE)</f>
        <v>0.1261721438035146</v>
      </c>
      <c r="F30" s="1">
        <f t="shared" si="1"/>
        <v>1.0622740629505525E-3</v>
      </c>
      <c r="G30" s="2">
        <f>VLOOKUP(A30,migr!$A$1:$H$210,8,FALSE)</f>
        <v>3.4070863388400298E-2</v>
      </c>
      <c r="H30" s="2">
        <f>VLOOKUP(B30,localidades!$B$1:$E$20,3,FALSE)</f>
        <v>-74.072070819324594</v>
      </c>
      <c r="I30" s="2">
        <f>VLOOKUP(B30,localidades!$H$1:$K$20,4,FALSE)</f>
        <v>4.59660507502144</v>
      </c>
      <c r="J30" s="1">
        <f>VLOOKUP(A30,def_hab!$A$1:$E$210,5,FALSE)</f>
        <v>1.8578853402314399E-3</v>
      </c>
      <c r="K30">
        <f>VLOOKUP(A30,ing_prom!$A$1:$D$229,4,FALSE)</f>
        <v>779640.92570015998</v>
      </c>
    </row>
    <row r="31" spans="1:11" x14ac:dyDescent="0.25">
      <c r="A31" t="str">
        <f t="shared" si="0"/>
        <v>Santa Fe2015</v>
      </c>
      <c r="B31" t="s">
        <v>20</v>
      </c>
      <c r="C31">
        <v>2015</v>
      </c>
      <c r="D31" s="1">
        <f>VLOOKUP(B31,share!$A$1:$C$20,3,FALSE)</f>
        <v>1.5979381443298968E-2</v>
      </c>
      <c r="E31" s="1">
        <f>VLOOKUP(C31,shift!$A$1:$C$15,3,FALSE)</f>
        <v>0.1261721438035146</v>
      </c>
      <c r="F31" s="1">
        <f t="shared" si="1"/>
        <v>2.01615281335513E-3</v>
      </c>
      <c r="G31" s="2">
        <f>VLOOKUP(A31,migr!$A$1:$H$210,8,FALSE)</f>
        <v>0.17590090719729401</v>
      </c>
      <c r="H31" s="2">
        <f>VLOOKUP(B31,localidades!$B$1:$E$20,3,FALSE)</f>
        <v>-74.0362173927127</v>
      </c>
      <c r="I31" s="2">
        <f>VLOOKUP(B31,localidades!$H$1:$K$20,4,FALSE)</f>
        <v>4.5939727566360302</v>
      </c>
      <c r="J31" s="1">
        <f>VLOOKUP(A31,def_hab!$A$1:$E$210,5,FALSE)</f>
        <v>4.6114687949362E-2</v>
      </c>
      <c r="K31">
        <f>VLOOKUP(A31,ing_prom!$A$1:$D$229,4,FALSE)</f>
        <v>788828.50171044003</v>
      </c>
    </row>
    <row r="32" spans="1:11" x14ac:dyDescent="0.25">
      <c r="A32" t="str">
        <f t="shared" si="0"/>
        <v>Puente Aranda2015</v>
      </c>
      <c r="B32" t="s">
        <v>14</v>
      </c>
      <c r="C32">
        <v>2015</v>
      </c>
      <c r="D32" s="1">
        <f>VLOOKUP(B32,share!$A$1:$C$20,3,FALSE)</f>
        <v>3.1786941580756012E-2</v>
      </c>
      <c r="E32" s="1">
        <f>VLOOKUP(C32,shift!$A$1:$C$15,3,FALSE)</f>
        <v>0.1261721438035146</v>
      </c>
      <c r="F32" s="1">
        <f t="shared" si="1"/>
        <v>4.010626564201065E-3</v>
      </c>
      <c r="G32" s="2">
        <f>VLOOKUP(A32,migr!$A$1:$H$210,8,FALSE)</f>
        <v>0.13778248583932001</v>
      </c>
      <c r="H32" s="2">
        <f>VLOOKUP(B32,localidades!$B$1:$E$20,3,FALSE)</f>
        <v>-74.111580402476093</v>
      </c>
      <c r="I32" s="2">
        <f>VLOOKUP(B32,localidades!$H$1:$K$20,4,FALSE)</f>
        <v>4.6162453592553296</v>
      </c>
      <c r="J32" s="1">
        <f>VLOOKUP(A32,def_hab!$A$1:$E$210,5,FALSE)</f>
        <v>1.28967459429878E-2</v>
      </c>
      <c r="K32">
        <f>VLOOKUP(A32,ing_prom!$A$1:$D$229,4,FALSE)</f>
        <v>944904.94472561998</v>
      </c>
    </row>
    <row r="33" spans="1:11" x14ac:dyDescent="0.25">
      <c r="A33" t="str">
        <f t="shared" si="0"/>
        <v>Los Mártires2015</v>
      </c>
      <c r="B33" t="s">
        <v>21</v>
      </c>
      <c r="C33">
        <v>2015</v>
      </c>
      <c r="D33" s="1">
        <f>VLOOKUP(B33,share!$A$1:$C$20,3,FALSE)</f>
        <v>1.5120274914089347E-2</v>
      </c>
      <c r="E33" s="1">
        <f>VLOOKUP(C33,shift!$A$1:$C$15,3,FALSE)</f>
        <v>0.1261721438035146</v>
      </c>
      <c r="F33" s="1">
        <f t="shared" si="1"/>
        <v>1.9077575008091556E-3</v>
      </c>
      <c r="G33" s="2">
        <f>VLOOKUP(A33,migr!$A$1:$H$210,8,FALSE)</f>
        <v>0.343680666960828</v>
      </c>
      <c r="H33" s="2">
        <f>VLOOKUP(B33,localidades!$B$1:$E$20,3,FALSE)</f>
        <v>-74.087947983810096</v>
      </c>
      <c r="I33" s="2">
        <f>VLOOKUP(B33,localidades!$H$1:$K$20,4,FALSE)</f>
        <v>4.6071559155114903</v>
      </c>
      <c r="J33" s="1">
        <f>VLOOKUP(A33,def_hab!$A$1:$E$210,5,FALSE)</f>
        <v>2.11110816488673E-2</v>
      </c>
      <c r="K33">
        <f>VLOOKUP(A33,ing_prom!$A$1:$D$229,4,FALSE)</f>
        <v>911198.94091610995</v>
      </c>
    </row>
    <row r="34" spans="1:11" x14ac:dyDescent="0.25">
      <c r="A34" t="str">
        <f t="shared" si="0"/>
        <v>Tunjuelito2015</v>
      </c>
      <c r="B34" t="s">
        <v>16</v>
      </c>
      <c r="C34">
        <v>2015</v>
      </c>
      <c r="D34" s="1">
        <f>VLOOKUP(B34,share!$A$1:$C$20,3,FALSE)</f>
        <v>7.5601374570446736E-3</v>
      </c>
      <c r="E34" s="1">
        <f>VLOOKUP(C34,shift!$A$1:$C$15,3,FALSE)</f>
        <v>0.1261721438035146</v>
      </c>
      <c r="F34" s="1">
        <f t="shared" si="1"/>
        <v>9.5387875040457779E-4</v>
      </c>
      <c r="G34" s="2">
        <f>VLOOKUP(A34,migr!$A$1:$H$210,8,FALSE)</f>
        <v>0.25401062709427402</v>
      </c>
      <c r="H34" s="2">
        <f>VLOOKUP(B34,localidades!$B$1:$E$20,3,FALSE)</f>
        <v>-74.135989244733693</v>
      </c>
      <c r="I34" s="2">
        <f>VLOOKUP(B34,localidades!$H$1:$K$20,4,FALSE)</f>
        <v>4.5748411850953001</v>
      </c>
      <c r="J34" s="1">
        <f>VLOOKUP(A34,def_hab!$A$1:$E$210,5,FALSE)</f>
        <v>3.8309842691513003E-2</v>
      </c>
      <c r="K34">
        <f>VLOOKUP(A34,ing_prom!$A$1:$D$229,4,FALSE)</f>
        <v>739007.08082660998</v>
      </c>
    </row>
    <row r="35" spans="1:11" x14ac:dyDescent="0.25">
      <c r="A35" t="str">
        <f t="shared" si="0"/>
        <v>San Cristóbal2015</v>
      </c>
      <c r="B35" t="s">
        <v>11</v>
      </c>
      <c r="C35">
        <v>2015</v>
      </c>
      <c r="D35" s="1">
        <f>VLOOKUP(B35,share!$A$1:$C$20,3,FALSE)</f>
        <v>2.2508591065292096E-2</v>
      </c>
      <c r="E35" s="1">
        <f>VLOOKUP(C35,shift!$A$1:$C$15,3,FALSE)</f>
        <v>0.1261721438035146</v>
      </c>
      <c r="F35" s="1">
        <f t="shared" si="1"/>
        <v>2.8399571887045383E-3</v>
      </c>
      <c r="G35" s="2">
        <f>VLOOKUP(A35,migr!$A$1:$H$210,8,FALSE)</f>
        <v>0.23733353397332099</v>
      </c>
      <c r="H35" s="2">
        <f>VLOOKUP(B35,localidades!$B$1:$E$20,3,FALSE)</f>
        <v>-74.066072400776207</v>
      </c>
      <c r="I35" s="2">
        <f>VLOOKUP(B35,localidades!$H$1:$K$20,4,FALSE)</f>
        <v>4.5487488041769897</v>
      </c>
      <c r="J35" s="1">
        <f>VLOOKUP(A35,def_hab!$A$1:$E$210,5,FALSE)</f>
        <v>4.47293148073242E-2</v>
      </c>
      <c r="K35">
        <f>VLOOKUP(A35,ing_prom!$A$1:$D$229,4,FALSE)</f>
        <v>567419.95982444996</v>
      </c>
    </row>
    <row r="36" spans="1:11" x14ac:dyDescent="0.25">
      <c r="A36" t="str">
        <f t="shared" si="0"/>
        <v>Rafael Uribe2015</v>
      </c>
      <c r="B36" t="s">
        <v>29</v>
      </c>
      <c r="C36">
        <v>2015</v>
      </c>
      <c r="D36" s="1">
        <f>VLOOKUP(B36,share!$A$1:$C$20,3,FALSE)</f>
        <v>1.9243986254295534E-2</v>
      </c>
      <c r="E36" s="1">
        <f>VLOOKUP(C36,shift!$A$1:$C$15,3,FALSE)</f>
        <v>0.1261721438035146</v>
      </c>
      <c r="F36" s="1">
        <f t="shared" si="1"/>
        <v>2.4280550010298343E-3</v>
      </c>
      <c r="G36" s="2">
        <f>VLOOKUP(A36,migr!$A$1:$H$210,8,FALSE)</f>
        <v>0.53243928222930303</v>
      </c>
      <c r="H36" s="2">
        <f>VLOOKUP(B36,localidades!$B$1:$E$20,3,FALSE)</f>
        <v>-74.113363102222095</v>
      </c>
      <c r="I36" s="2">
        <f>VLOOKUP(B36,localidades!$H$1:$K$20,4,FALSE)</f>
        <v>4.5664766672516102</v>
      </c>
      <c r="J36" s="1">
        <f>VLOOKUP(A36,def_hab!$A$1:$E$210,5,FALSE)</f>
        <v>3.9792454737072498E-2</v>
      </c>
      <c r="K36">
        <f>VLOOKUP(A36,ing_prom!$A$1:$D$229,4,FALSE)</f>
        <v>642169.28469699004</v>
      </c>
    </row>
    <row r="37" spans="1:11" x14ac:dyDescent="0.25">
      <c r="A37" t="str">
        <f t="shared" si="0"/>
        <v>Ciudad Bolívar2015</v>
      </c>
      <c r="B37" t="s">
        <v>8</v>
      </c>
      <c r="C37">
        <v>2015</v>
      </c>
      <c r="D37" s="1">
        <f>VLOOKUP(B37,share!$A$1:$C$20,3,FALSE)</f>
        <v>6.7010309278350512E-3</v>
      </c>
      <c r="E37" s="1">
        <f>VLOOKUP(C37,shift!$A$1:$C$15,3,FALSE)</f>
        <v>0.1261721438035146</v>
      </c>
      <c r="F37" s="1">
        <f t="shared" si="1"/>
        <v>8.4548343785860295E-4</v>
      </c>
      <c r="G37" s="2">
        <f>VLOOKUP(A37,migr!$A$1:$H$210,8,FALSE)</f>
        <v>0.88200836582854303</v>
      </c>
      <c r="H37" s="2">
        <f>VLOOKUP(B37,localidades!$B$1:$E$20,3,FALSE)</f>
        <v>-74.161960022510598</v>
      </c>
      <c r="I37" s="2">
        <f>VLOOKUP(B37,localidades!$H$1:$K$20,4,FALSE)</f>
        <v>4.48245576116999</v>
      </c>
      <c r="J37" s="1">
        <f>VLOOKUP(A37,def_hab!$A$1:$E$210,5,FALSE)</f>
        <v>6.0005445430941599E-2</v>
      </c>
      <c r="K37" t="e">
        <f>VLOOKUP(A37,ing_prom!$A$1:$D$229,4,FALSE)</f>
        <v>#N/A</v>
      </c>
    </row>
    <row r="38" spans="1:11" x14ac:dyDescent="0.25">
      <c r="A38" t="str">
        <f t="shared" si="0"/>
        <v>Usme2015</v>
      </c>
      <c r="B38" t="s">
        <v>12</v>
      </c>
      <c r="C38">
        <v>2015</v>
      </c>
      <c r="D38" s="1">
        <f>VLOOKUP(B38,share!$A$1:$C$20,3,FALSE)</f>
        <v>7.2164948453608251E-3</v>
      </c>
      <c r="E38" s="1">
        <f>VLOOKUP(C38,shift!$A$1:$C$15,3,FALSE)</f>
        <v>0.1261721438035146</v>
      </c>
      <c r="F38" s="1">
        <f t="shared" si="1"/>
        <v>9.1052062538618788E-4</v>
      </c>
      <c r="G38" s="2">
        <f>VLOOKUP(A38,migr!$A$1:$H$210,8,FALSE)</f>
        <v>0.50262801617134201</v>
      </c>
      <c r="H38" s="2">
        <f>VLOOKUP(B38,localidades!$B$1:$E$20,3,FALSE)</f>
        <v>-74.142812024697704</v>
      </c>
      <c r="I38" s="2">
        <f>VLOOKUP(B38,localidades!$H$1:$K$20,4,FALSE)</f>
        <v>4.3900190318873902</v>
      </c>
      <c r="J38" s="1">
        <f>VLOOKUP(A38,def_hab!$A$1:$E$210,5,FALSE)</f>
        <v>5.8890470262200498E-2</v>
      </c>
      <c r="K38">
        <f>VLOOKUP(A38,ing_prom!$A$1:$D$229,4,FALSE)</f>
        <v>457070.49963171</v>
      </c>
    </row>
    <row r="39" spans="1:11" x14ac:dyDescent="0.25">
      <c r="A39" t="str">
        <f t="shared" si="0"/>
        <v>Bosa2015</v>
      </c>
      <c r="B39" t="s">
        <v>9</v>
      </c>
      <c r="C39">
        <v>2015</v>
      </c>
      <c r="D39" s="1">
        <f>VLOOKUP(B39,share!$A$1:$C$20,3,FALSE)</f>
        <v>2.5945017182130586E-2</v>
      </c>
      <c r="E39" s="1">
        <f>VLOOKUP(C39,shift!$A$1:$C$15,3,FALSE)</f>
        <v>0.1261721438035146</v>
      </c>
      <c r="F39" s="1">
        <f t="shared" si="1"/>
        <v>3.2735384388884376E-3</v>
      </c>
      <c r="G39" s="2">
        <f>VLOOKUP(A39,migr!$A$1:$H$210,8,FALSE)</f>
        <v>0.86626540875685198</v>
      </c>
      <c r="H39" s="2">
        <f>VLOOKUP(B39,localidades!$B$1:$E$20,3,FALSE)</f>
        <v>-74.194388716263504</v>
      </c>
      <c r="I39" s="2">
        <f>VLOOKUP(B39,localidades!$H$1:$K$20,4,FALSE)</f>
        <v>4.6217797878632698</v>
      </c>
      <c r="J39" s="1">
        <f>VLOOKUP(A39,def_hab!$A$1:$E$210,5,FALSE)</f>
        <v>4.3042432813856703E-2</v>
      </c>
      <c r="K39">
        <f>VLOOKUP(A39,ing_prom!$A$1:$D$229,4,FALSE)</f>
        <v>531808.97047959</v>
      </c>
    </row>
    <row r="40" spans="1:11" x14ac:dyDescent="0.25">
      <c r="A40" t="str">
        <f t="shared" si="0"/>
        <v>Chapinero2016</v>
      </c>
      <c r="B40" t="s">
        <v>18</v>
      </c>
      <c r="C40">
        <v>2016</v>
      </c>
      <c r="D40" s="1">
        <f>VLOOKUP(B40,share!$A$1:$C$20,3,FALSE)</f>
        <v>0.17577319587628865</v>
      </c>
      <c r="E40" s="1">
        <f>VLOOKUP(C40,shift!$A$1:$C$15,3,FALSE)</f>
        <v>0.15053792860247994</v>
      </c>
      <c r="F40" s="1">
        <f t="shared" si="1"/>
        <v>2.6460532811054462E-2</v>
      </c>
      <c r="G40" s="2">
        <f>VLOOKUP(A40,migr!$A$1:$H$210,8,FALSE)</f>
        <v>0.196246055689489</v>
      </c>
      <c r="H40" s="2">
        <f>VLOOKUP(B40,localidades!$B$1:$E$20,3,FALSE)</f>
        <v>-74.036938848703201</v>
      </c>
      <c r="I40" s="2">
        <f>VLOOKUP(B40,localidades!$H$1:$K$20,4,FALSE)</f>
        <v>4.64492441542754</v>
      </c>
      <c r="J40" s="1">
        <f>VLOOKUP(A40,def_hab!$A$1:$E$210,5,FALSE)</f>
        <v>4.1378910703632702E-3</v>
      </c>
      <c r="K40">
        <f>VLOOKUP(A40,ing_prom!$A$1:$D$229,4,FALSE)</f>
        <v>1327696.4014963401</v>
      </c>
    </row>
    <row r="41" spans="1:11" x14ac:dyDescent="0.25">
      <c r="A41" t="str">
        <f t="shared" si="0"/>
        <v>Teusaquillo2016</v>
      </c>
      <c r="B41" t="s">
        <v>17</v>
      </c>
      <c r="C41">
        <v>2016</v>
      </c>
      <c r="D41" s="1">
        <f>VLOOKUP(B41,share!$A$1:$C$20,3,FALSE)</f>
        <v>0.15068728522336769</v>
      </c>
      <c r="E41" s="1">
        <f>VLOOKUP(C41,shift!$A$1:$C$15,3,FALSE)</f>
        <v>0.15053792860247994</v>
      </c>
      <c r="F41" s="1">
        <f t="shared" si="1"/>
        <v>2.2684151784256857E-2</v>
      </c>
      <c r="G41" s="2">
        <f>VLOOKUP(A41,migr!$A$1:$H$210,8,FALSE)</f>
        <v>0.107208866687401</v>
      </c>
      <c r="H41" s="2">
        <f>VLOOKUP(B41,localidades!$B$1:$E$20,3,FALSE)</f>
        <v>-74.085768890680001</v>
      </c>
      <c r="I41" s="2">
        <f>VLOOKUP(B41,localidades!$H$1:$K$20,4,FALSE)</f>
        <v>4.6411735516069603</v>
      </c>
      <c r="J41" s="1">
        <f>VLOOKUP(A41,def_hab!$A$1:$E$210,5,FALSE)</f>
        <v>2.9756138858588602E-4</v>
      </c>
      <c r="K41">
        <f>VLOOKUP(A41,ing_prom!$A$1:$D$229,4,FALSE)</f>
        <v>2756555.8257430899</v>
      </c>
    </row>
    <row r="42" spans="1:11" x14ac:dyDescent="0.25">
      <c r="A42" t="str">
        <f t="shared" si="0"/>
        <v>Usaquén2016</v>
      </c>
      <c r="B42" t="s">
        <v>10</v>
      </c>
      <c r="C42">
        <v>2016</v>
      </c>
      <c r="D42" s="1">
        <f>VLOOKUP(B42,share!$A$1:$C$20,3,FALSE)</f>
        <v>0.14725085910652921</v>
      </c>
      <c r="E42" s="1">
        <f>VLOOKUP(C42,shift!$A$1:$C$15,3,FALSE)</f>
        <v>0.15053792860247994</v>
      </c>
      <c r="F42" s="1">
        <f t="shared" si="1"/>
        <v>2.2166839314832529E-2</v>
      </c>
      <c r="G42" s="2">
        <f>VLOOKUP(A42,migr!$A$1:$H$210,8,FALSE)</f>
        <v>0.94299390811327399</v>
      </c>
      <c r="H42" s="2">
        <f>VLOOKUP(B42,localidades!$B$1:$E$20,3,FALSE)</f>
        <v>-74.027882368779103</v>
      </c>
      <c r="I42" s="2">
        <f>VLOOKUP(B42,localidades!$H$1:$K$20,4,FALSE)</f>
        <v>4.7419260292461196</v>
      </c>
      <c r="J42" s="1">
        <f>VLOOKUP(A42,def_hab!$A$1:$E$210,5,FALSE)</f>
        <v>9.4498165931365691E-3</v>
      </c>
      <c r="K42">
        <f>VLOOKUP(A42,ing_prom!$A$1:$D$229,4,FALSE)</f>
        <v>2187652.7738925898</v>
      </c>
    </row>
    <row r="43" spans="1:11" x14ac:dyDescent="0.25">
      <c r="A43" t="str">
        <f t="shared" si="0"/>
        <v>Suba2016</v>
      </c>
      <c r="B43" t="s">
        <v>6</v>
      </c>
      <c r="C43">
        <v>2016</v>
      </c>
      <c r="D43" s="1">
        <f>VLOOKUP(B43,share!$A$1:$C$20,3,FALSE)</f>
        <v>0.10876288659793815</v>
      </c>
      <c r="E43" s="1">
        <f>VLOOKUP(C43,shift!$A$1:$C$15,3,FALSE)</f>
        <v>0.15053792860247994</v>
      </c>
      <c r="F43" s="1">
        <f t="shared" si="1"/>
        <v>1.6372939657280036E-2</v>
      </c>
      <c r="G43" s="2">
        <f>VLOOKUP(A43,migr!$A$1:$H$210,8,FALSE)</f>
        <v>1.81540736266896</v>
      </c>
      <c r="H43" s="2">
        <f>VLOOKUP(B43,localidades!$B$1:$E$20,3,FALSE)</f>
        <v>-74.075845800487997</v>
      </c>
      <c r="I43" s="2">
        <f>VLOOKUP(B43,localidades!$H$1:$K$20,4,FALSE)</f>
        <v>4.76320652488001</v>
      </c>
      <c r="J43" s="1">
        <f>VLOOKUP(A43,def_hab!$A$1:$E$210,5,FALSE)</f>
        <v>1.9637160283282998E-2</v>
      </c>
      <c r="K43">
        <f>VLOOKUP(A43,ing_prom!$A$1:$D$229,4,FALSE)</f>
        <v>1524164.33142664</v>
      </c>
    </row>
    <row r="44" spans="1:11" x14ac:dyDescent="0.25">
      <c r="A44" t="str">
        <f t="shared" si="0"/>
        <v>Barrios Unidos2016</v>
      </c>
      <c r="B44" t="s">
        <v>15</v>
      </c>
      <c r="C44">
        <v>2016</v>
      </c>
      <c r="D44" s="1">
        <f>VLOOKUP(B44,share!$A$1:$C$20,3,FALSE)</f>
        <v>7.1993127147766317E-2</v>
      </c>
      <c r="E44" s="1">
        <f>VLOOKUP(C44,shift!$A$1:$C$15,3,FALSE)</f>
        <v>0.15053792860247994</v>
      </c>
      <c r="F44" s="1">
        <f t="shared" si="1"/>
        <v>1.0837696234439706E-2</v>
      </c>
      <c r="G44" s="2">
        <f>VLOOKUP(A44,migr!$A$1:$H$210,8,FALSE)</f>
        <v>0.138238206139914</v>
      </c>
      <c r="H44" s="2">
        <f>VLOOKUP(B44,localidades!$B$1:$E$20,3,FALSE)</f>
        <v>-74.073551677463399</v>
      </c>
      <c r="I44" s="2">
        <f>VLOOKUP(B44,localidades!$H$1:$K$20,4,FALSE)</f>
        <v>4.6695668454366004</v>
      </c>
      <c r="J44" s="1">
        <f>VLOOKUP(A44,def_hab!$A$1:$E$210,5,FALSE)</f>
        <v>7.0638384097590403E-3</v>
      </c>
      <c r="K44">
        <f>VLOOKUP(A44,ing_prom!$A$1:$D$229,4,FALSE)</f>
        <v>1510283.8407449599</v>
      </c>
    </row>
    <row r="45" spans="1:11" x14ac:dyDescent="0.25">
      <c r="A45" t="str">
        <f t="shared" si="0"/>
        <v>Engativá2016</v>
      </c>
      <c r="B45" t="s">
        <v>7</v>
      </c>
      <c r="C45">
        <v>2016</v>
      </c>
      <c r="D45" s="1">
        <f>VLOOKUP(B45,share!$A$1:$C$20,3,FALSE)</f>
        <v>6.0309278350515465E-2</v>
      </c>
      <c r="E45" s="1">
        <f>VLOOKUP(C45,shift!$A$1:$C$15,3,FALSE)</f>
        <v>0.15053792860247994</v>
      </c>
      <c r="F45" s="1">
        <f t="shared" si="1"/>
        <v>9.0788338383969869E-3</v>
      </c>
      <c r="G45" s="2">
        <f>VLOOKUP(A45,migr!$A$1:$H$210,8,FALSE)</f>
        <v>1.0233566153112199</v>
      </c>
      <c r="H45" s="2">
        <f>VLOOKUP(B45,localidades!$B$1:$E$20,3,FALSE)</f>
        <v>-74.113187148077898</v>
      </c>
      <c r="I45" s="2">
        <f>VLOOKUP(B45,localidades!$H$1:$K$20,4,FALSE)</f>
        <v>4.70112526984326</v>
      </c>
      <c r="J45" s="1">
        <f>VLOOKUP(A45,def_hab!$A$1:$E$210,5,FALSE)</f>
        <v>1.5486172785128999E-2</v>
      </c>
      <c r="K45">
        <f>VLOOKUP(A45,ing_prom!$A$1:$D$229,4,FALSE)</f>
        <v>508124.69563896098</v>
      </c>
    </row>
    <row r="46" spans="1:11" x14ac:dyDescent="0.25">
      <c r="A46" t="str">
        <f t="shared" si="0"/>
        <v>Fontibón2016</v>
      </c>
      <c r="B46" t="s">
        <v>13</v>
      </c>
      <c r="C46">
        <v>2016</v>
      </c>
      <c r="D46" s="1">
        <f>VLOOKUP(B46,share!$A$1:$C$20,3,FALSE)</f>
        <v>5.0171821305841927E-2</v>
      </c>
      <c r="E46" s="1">
        <f>VLOOKUP(C46,shift!$A$1:$C$15,3,FALSE)</f>
        <v>0.15053792860247994</v>
      </c>
      <c r="F46" s="1">
        <f t="shared" si="1"/>
        <v>7.5527620535952135E-3</v>
      </c>
      <c r="G46" s="2">
        <f>VLOOKUP(A46,migr!$A$1:$H$210,8,FALSE)</f>
        <v>0.45001461044163399</v>
      </c>
      <c r="H46" s="2">
        <f>VLOOKUP(B46,localidades!$B$1:$E$20,3,FALSE)</f>
        <v>-74.140150765275294</v>
      </c>
      <c r="I46" s="2">
        <f>VLOOKUP(B46,localidades!$H$1:$K$20,4,FALSE)</f>
        <v>4.6781827131162403</v>
      </c>
      <c r="J46" s="1">
        <f>VLOOKUP(A46,def_hab!$A$1:$E$210,5,FALSE)</f>
        <v>1.54534518883043E-2</v>
      </c>
      <c r="K46">
        <f>VLOOKUP(A46,ing_prom!$A$1:$D$229,4,FALSE)</f>
        <v>1119768.8786606099</v>
      </c>
    </row>
    <row r="47" spans="1:11" x14ac:dyDescent="0.25">
      <c r="A47" t="str">
        <f t="shared" si="0"/>
        <v>Kennedy2016</v>
      </c>
      <c r="B47" t="s">
        <v>5</v>
      </c>
      <c r="C47">
        <v>2016</v>
      </c>
      <c r="D47" s="1">
        <f>VLOOKUP(B47,share!$A$1:$C$20,3,FALSE)</f>
        <v>4.6907216494845361E-2</v>
      </c>
      <c r="E47" s="1">
        <f>VLOOKUP(C47,shift!$A$1:$C$15,3,FALSE)</f>
        <v>0.15053792860247994</v>
      </c>
      <c r="F47" s="1">
        <f t="shared" si="1"/>
        <v>7.0613152076421E-3</v>
      </c>
      <c r="G47" s="2">
        <f>VLOOKUP(A47,migr!$A$1:$H$210,8,FALSE)</f>
        <v>1.5652394689512701</v>
      </c>
      <c r="H47" s="2">
        <f>VLOOKUP(B47,localidades!$B$1:$E$20,3,FALSE)</f>
        <v>-74.152667580564398</v>
      </c>
      <c r="I47" s="2">
        <f>VLOOKUP(B47,localidades!$H$1:$K$20,4,FALSE)</f>
        <v>4.6303471220515098</v>
      </c>
      <c r="J47" s="1">
        <f>VLOOKUP(A47,def_hab!$A$1:$E$210,5,FALSE)</f>
        <v>2.5332979055023901E-2</v>
      </c>
      <c r="K47">
        <f>VLOOKUP(A47,ing_prom!$A$1:$D$229,4,FALSE)</f>
        <v>1398490.7996115701</v>
      </c>
    </row>
    <row r="48" spans="1:11" x14ac:dyDescent="0.25">
      <c r="A48" t="str">
        <f t="shared" si="0"/>
        <v>Antonio Nariño2016</v>
      </c>
      <c r="B48" t="s">
        <v>19</v>
      </c>
      <c r="C48">
        <v>2016</v>
      </c>
      <c r="D48" s="1">
        <f>VLOOKUP(B48,share!$A$1:$C$20,3,FALSE)</f>
        <v>2.7663230240549827E-2</v>
      </c>
      <c r="E48" s="1">
        <f>VLOOKUP(C48,shift!$A$1:$C$15,3,FALSE)</f>
        <v>0.15053792860247994</v>
      </c>
      <c r="F48" s="1">
        <f t="shared" si="1"/>
        <v>4.1643653788658542E-3</v>
      </c>
      <c r="G48" s="2">
        <f>VLOOKUP(A48,migr!$A$1:$H$210,8,FALSE)</f>
        <v>0.13420267239325001</v>
      </c>
      <c r="H48" s="2">
        <f>VLOOKUP(B48,localidades!$B$1:$E$20,3,FALSE)</f>
        <v>-74.102842336786907</v>
      </c>
      <c r="I48" s="2">
        <f>VLOOKUP(B48,localidades!$H$1:$K$20,4,FALSE)</f>
        <v>4.5887707178273196</v>
      </c>
      <c r="J48" s="1">
        <f>VLOOKUP(A48,def_hab!$A$1:$E$210,5,FALSE)</f>
        <v>1.28900779780065E-2</v>
      </c>
      <c r="K48">
        <f>VLOOKUP(A48,ing_prom!$A$1:$D$229,4,FALSE)</f>
        <v>1007705.90633258</v>
      </c>
    </row>
    <row r="49" spans="1:11" x14ac:dyDescent="0.25">
      <c r="A49" t="str">
        <f t="shared" si="0"/>
        <v>La Candelaria2016</v>
      </c>
      <c r="B49" t="s">
        <v>22</v>
      </c>
      <c r="C49">
        <v>2016</v>
      </c>
      <c r="D49" s="1">
        <f>VLOOKUP(B49,share!$A$1:$C$20,3,FALSE)</f>
        <v>8.4192439862542951E-3</v>
      </c>
      <c r="E49" s="1">
        <f>VLOOKUP(C49,shift!$A$1:$C$15,3,FALSE)</f>
        <v>0.15053792860247994</v>
      </c>
      <c r="F49" s="1">
        <f t="shared" si="1"/>
        <v>1.2674155500896078E-3</v>
      </c>
      <c r="G49" s="2">
        <f>VLOOKUP(A49,migr!$A$1:$H$210,8,FALSE)</f>
        <v>3.9055098560896402E-2</v>
      </c>
      <c r="H49" s="2">
        <f>VLOOKUP(B49,localidades!$B$1:$E$20,3,FALSE)</f>
        <v>-74.072070819324594</v>
      </c>
      <c r="I49" s="2">
        <f>VLOOKUP(B49,localidades!$H$1:$K$20,4,FALSE)</f>
        <v>4.59660507502144</v>
      </c>
      <c r="J49" s="1">
        <f>VLOOKUP(A49,def_hab!$A$1:$E$210,5,FALSE)</f>
        <v>1.8058792228175199E-3</v>
      </c>
      <c r="K49">
        <f>VLOOKUP(A49,ing_prom!$A$1:$D$229,4,FALSE)</f>
        <v>826107.52487188997</v>
      </c>
    </row>
    <row r="50" spans="1:11" x14ac:dyDescent="0.25">
      <c r="A50" t="str">
        <f t="shared" si="0"/>
        <v>Santa Fe2016</v>
      </c>
      <c r="B50" t="s">
        <v>20</v>
      </c>
      <c r="C50">
        <v>2016</v>
      </c>
      <c r="D50" s="1">
        <f>VLOOKUP(B50,share!$A$1:$C$20,3,FALSE)</f>
        <v>1.5979381443298968E-2</v>
      </c>
      <c r="E50" s="1">
        <f>VLOOKUP(C50,shift!$A$1:$C$15,3,FALSE)</f>
        <v>0.15053792860247994</v>
      </c>
      <c r="F50" s="1">
        <f t="shared" si="1"/>
        <v>2.4055029828231331E-3</v>
      </c>
      <c r="G50" s="2">
        <f>VLOOKUP(A50,migr!$A$1:$H$210,8,FALSE)</f>
        <v>0.201633495142959</v>
      </c>
      <c r="H50" s="2">
        <f>VLOOKUP(B50,localidades!$B$1:$E$20,3,FALSE)</f>
        <v>-74.0362173927127</v>
      </c>
      <c r="I50" s="2">
        <f>VLOOKUP(B50,localidades!$H$1:$K$20,4,FALSE)</f>
        <v>4.5939727566360302</v>
      </c>
      <c r="J50" s="1">
        <f>VLOOKUP(A50,def_hab!$A$1:$E$210,5,FALSE)</f>
        <v>4.4823840864201103E-2</v>
      </c>
      <c r="K50">
        <f>VLOOKUP(A50,ing_prom!$A$1:$D$229,4,FALSE)</f>
        <v>835842.680412382</v>
      </c>
    </row>
    <row r="51" spans="1:11" x14ac:dyDescent="0.25">
      <c r="A51" t="str">
        <f t="shared" si="0"/>
        <v>Puente Aranda2016</v>
      </c>
      <c r="B51" t="s">
        <v>14</v>
      </c>
      <c r="C51">
        <v>2016</v>
      </c>
      <c r="D51" s="1">
        <f>VLOOKUP(B51,share!$A$1:$C$20,3,FALSE)</f>
        <v>3.1786941580756012E-2</v>
      </c>
      <c r="E51" s="1">
        <f>VLOOKUP(C51,shift!$A$1:$C$15,3,FALSE)</f>
        <v>0.15053792860247994</v>
      </c>
      <c r="F51" s="1">
        <f t="shared" si="1"/>
        <v>4.7851403421750498E-3</v>
      </c>
      <c r="G51" s="2">
        <f>VLOOKUP(A51,migr!$A$1:$H$210,8,FALSE)</f>
        <v>0.15793872033932699</v>
      </c>
      <c r="H51" s="2">
        <f>VLOOKUP(B51,localidades!$B$1:$E$20,3,FALSE)</f>
        <v>-74.111580402476093</v>
      </c>
      <c r="I51" s="2">
        <f>VLOOKUP(B51,localidades!$H$1:$K$20,4,FALSE)</f>
        <v>4.6162453592553296</v>
      </c>
      <c r="J51" s="1">
        <f>VLOOKUP(A51,def_hab!$A$1:$E$210,5,FALSE)</f>
        <v>1.25357389049082E-2</v>
      </c>
      <c r="K51">
        <f>VLOOKUP(A51,ing_prom!$A$1:$D$229,4,FALSE)</f>
        <v>1001221.27943127</v>
      </c>
    </row>
    <row r="52" spans="1:11" x14ac:dyDescent="0.25">
      <c r="A52" t="str">
        <f t="shared" si="0"/>
        <v>Los Mártires2016</v>
      </c>
      <c r="B52" t="s">
        <v>21</v>
      </c>
      <c r="C52">
        <v>2016</v>
      </c>
      <c r="D52" s="1">
        <f>VLOOKUP(B52,share!$A$1:$C$20,3,FALSE)</f>
        <v>1.5120274914089347E-2</v>
      </c>
      <c r="E52" s="1">
        <f>VLOOKUP(C52,shift!$A$1:$C$15,3,FALSE)</f>
        <v>0.15053792860247994</v>
      </c>
      <c r="F52" s="1">
        <f t="shared" si="1"/>
        <v>2.2761748654670506E-3</v>
      </c>
      <c r="G52" s="2">
        <f>VLOOKUP(A52,migr!$A$1:$H$210,8,FALSE)</f>
        <v>0.39395779815193999</v>
      </c>
      <c r="H52" s="2">
        <f>VLOOKUP(B52,localidades!$B$1:$E$20,3,FALSE)</f>
        <v>-74.087947983810096</v>
      </c>
      <c r="I52" s="2">
        <f>VLOOKUP(B52,localidades!$H$1:$K$20,4,FALSE)</f>
        <v>4.6071559155114903</v>
      </c>
      <c r="J52" s="1">
        <f>VLOOKUP(A52,def_hab!$A$1:$E$210,5,FALSE)</f>
        <v>2.0520138081365401E-2</v>
      </c>
      <c r="K52">
        <f>VLOOKUP(A52,ing_prom!$A$1:$D$229,4,FALSE)</f>
        <v>965506.39779471001</v>
      </c>
    </row>
    <row r="53" spans="1:11" x14ac:dyDescent="0.25">
      <c r="A53" t="str">
        <f t="shared" si="0"/>
        <v>Tunjuelito2016</v>
      </c>
      <c r="B53" t="s">
        <v>16</v>
      </c>
      <c r="C53">
        <v>2016</v>
      </c>
      <c r="D53" s="1">
        <f>VLOOKUP(B53,share!$A$1:$C$20,3,FALSE)</f>
        <v>7.5601374570446736E-3</v>
      </c>
      <c r="E53" s="1">
        <f>VLOOKUP(C53,shift!$A$1:$C$15,3,FALSE)</f>
        <v>0.15053792860247994</v>
      </c>
      <c r="F53" s="1">
        <f t="shared" si="1"/>
        <v>1.1380874327335253E-3</v>
      </c>
      <c r="G53" s="2">
        <f>VLOOKUP(A53,migr!$A$1:$H$210,8,FALSE)</f>
        <v>0.29116990560501699</v>
      </c>
      <c r="H53" s="2">
        <f>VLOOKUP(B53,localidades!$B$1:$E$20,3,FALSE)</f>
        <v>-74.135989244733693</v>
      </c>
      <c r="I53" s="2">
        <f>VLOOKUP(B53,localidades!$H$1:$K$20,4,FALSE)</f>
        <v>4.5748411850953001</v>
      </c>
      <c r="J53" s="1">
        <f>VLOOKUP(A53,def_hab!$A$1:$E$210,5,FALSE)</f>
        <v>3.7237469637062003E-2</v>
      </c>
      <c r="K53">
        <f>VLOOKUP(A53,ing_prom!$A$1:$D$229,4,FALSE)</f>
        <v>783051.90284387604</v>
      </c>
    </row>
    <row r="54" spans="1:11" x14ac:dyDescent="0.25">
      <c r="A54" t="str">
        <f t="shared" si="0"/>
        <v>San Cristóbal2016</v>
      </c>
      <c r="B54" t="s">
        <v>11</v>
      </c>
      <c r="C54">
        <v>2016</v>
      </c>
      <c r="D54" s="1">
        <f>VLOOKUP(B54,share!$A$1:$C$20,3,FALSE)</f>
        <v>2.2508591065292096E-2</v>
      </c>
      <c r="E54" s="1">
        <f>VLOOKUP(C54,shift!$A$1:$C$15,3,FALSE)</f>
        <v>0.15053792860247994</v>
      </c>
      <c r="F54" s="1">
        <f t="shared" si="1"/>
        <v>3.3883966747293593E-3</v>
      </c>
      <c r="G54" s="2">
        <f>VLOOKUP(A54,migr!$A$1:$H$210,8,FALSE)</f>
        <v>0.27205311633780399</v>
      </c>
      <c r="H54" s="2">
        <f>VLOOKUP(B54,localidades!$B$1:$E$20,3,FALSE)</f>
        <v>-74.066072400776207</v>
      </c>
      <c r="I54" s="2">
        <f>VLOOKUP(B54,localidades!$H$1:$K$20,4,FALSE)</f>
        <v>4.5487488041769897</v>
      </c>
      <c r="J54" s="1">
        <f>VLOOKUP(A54,def_hab!$A$1:$E$210,5,FALSE)</f>
        <v>4.3477247229556301E-2</v>
      </c>
      <c r="K54">
        <f>VLOOKUP(A54,ing_prom!$A$1:$D$229,4,FALSE)</f>
        <v>601238.18942998699</v>
      </c>
    </row>
    <row r="55" spans="1:11" x14ac:dyDescent="0.25">
      <c r="A55" t="str">
        <f t="shared" si="0"/>
        <v>Rafael Uribe2016</v>
      </c>
      <c r="B55" t="s">
        <v>29</v>
      </c>
      <c r="C55">
        <v>2016</v>
      </c>
      <c r="D55" s="1">
        <f>VLOOKUP(B55,share!$A$1:$C$20,3,FALSE)</f>
        <v>1.9243986254295534E-2</v>
      </c>
      <c r="E55" s="1">
        <f>VLOOKUP(C55,shift!$A$1:$C$15,3,FALSE)</f>
        <v>0.15053792860247994</v>
      </c>
      <c r="F55" s="1">
        <f t="shared" si="1"/>
        <v>2.8969498287762466E-3</v>
      </c>
      <c r="G55" s="2">
        <f>VLOOKUP(A55,migr!$A$1:$H$210,8,FALSE)</f>
        <v>0.610329958712992</v>
      </c>
      <c r="H55" s="2">
        <f>VLOOKUP(B55,localidades!$B$1:$E$20,3,FALSE)</f>
        <v>-74.113363102222095</v>
      </c>
      <c r="I55" s="2">
        <f>VLOOKUP(B55,localidades!$H$1:$K$20,4,FALSE)</f>
        <v>4.5664766672516102</v>
      </c>
      <c r="J55" s="1">
        <f>VLOOKUP(A55,def_hab!$A$1:$E$210,5,FALSE)</f>
        <v>3.8678580253845997E-2</v>
      </c>
      <c r="K55">
        <f>VLOOKUP(A55,ing_prom!$A$1:$D$229,4,FALSE)</f>
        <v>680442.57406493102</v>
      </c>
    </row>
    <row r="56" spans="1:11" x14ac:dyDescent="0.25">
      <c r="A56" t="str">
        <f t="shared" si="0"/>
        <v>Ciudad Bolívar2016</v>
      </c>
      <c r="B56" t="s">
        <v>8</v>
      </c>
      <c r="C56">
        <v>2016</v>
      </c>
      <c r="D56" s="1">
        <f>VLOOKUP(B56,share!$A$1:$C$20,3,FALSE)</f>
        <v>6.7010309278350512E-3</v>
      </c>
      <c r="E56" s="1">
        <f>VLOOKUP(C56,shift!$A$1:$C$15,3,FALSE)</f>
        <v>0.15053792860247994</v>
      </c>
      <c r="F56" s="1">
        <f t="shared" si="1"/>
        <v>1.0087593153774428E-3</v>
      </c>
      <c r="G56" s="2">
        <f>VLOOKUP(A56,migr!$A$1:$H$210,8,FALSE)</f>
        <v>1.0110375914540699</v>
      </c>
      <c r="H56" s="2">
        <f>VLOOKUP(B56,localidades!$B$1:$E$20,3,FALSE)</f>
        <v>-74.161960022510598</v>
      </c>
      <c r="I56" s="2">
        <f>VLOOKUP(B56,localidades!$H$1:$K$20,4,FALSE)</f>
        <v>4.48245576116999</v>
      </c>
      <c r="J56" s="1">
        <f>VLOOKUP(A56,def_hab!$A$1:$E$210,5,FALSE)</f>
        <v>5.8325766834539397E-2</v>
      </c>
      <c r="K56" t="e">
        <f>VLOOKUP(A56,ing_prom!$A$1:$D$229,4,FALSE)</f>
        <v>#N/A</v>
      </c>
    </row>
    <row r="57" spans="1:11" x14ac:dyDescent="0.25">
      <c r="A57" t="str">
        <f t="shared" si="0"/>
        <v>Usme2016</v>
      </c>
      <c r="B57" t="s">
        <v>12</v>
      </c>
      <c r="C57">
        <v>2016</v>
      </c>
      <c r="D57" s="1">
        <f>VLOOKUP(B57,share!$A$1:$C$20,3,FALSE)</f>
        <v>7.2164948453608251E-3</v>
      </c>
      <c r="E57" s="1">
        <f>VLOOKUP(C57,shift!$A$1:$C$15,3,FALSE)</f>
        <v>0.15053792860247994</v>
      </c>
      <c r="F57" s="1">
        <f t="shared" si="1"/>
        <v>1.0863561857910925E-3</v>
      </c>
      <c r="G57" s="2">
        <f>VLOOKUP(A57,migr!$A$1:$H$210,8,FALSE)</f>
        <v>0.57615759504711594</v>
      </c>
      <c r="H57" s="2">
        <f>VLOOKUP(B57,localidades!$B$1:$E$20,3,FALSE)</f>
        <v>-74.142812024697704</v>
      </c>
      <c r="I57" s="2">
        <f>VLOOKUP(B57,localidades!$H$1:$K$20,4,FALSE)</f>
        <v>4.3900190318873902</v>
      </c>
      <c r="J57" s="1">
        <f>VLOOKUP(A57,def_hab!$A$1:$E$210,5,FALSE)</f>
        <v>5.7242002165328897E-2</v>
      </c>
      <c r="K57">
        <f>VLOOKUP(A57,ing_prom!$A$1:$D$229,4,FALSE)</f>
        <v>484311.90140976</v>
      </c>
    </row>
    <row r="58" spans="1:11" x14ac:dyDescent="0.25">
      <c r="A58" t="str">
        <f t="shared" si="0"/>
        <v>Bosa2016</v>
      </c>
      <c r="B58" t="s">
        <v>9</v>
      </c>
      <c r="C58">
        <v>2016</v>
      </c>
      <c r="D58" s="1">
        <f>VLOOKUP(B58,share!$A$1:$C$20,3,FALSE)</f>
        <v>2.5945017182130586E-2</v>
      </c>
      <c r="E58" s="1">
        <f>VLOOKUP(C58,shift!$A$1:$C$15,3,FALSE)</f>
        <v>0.15053792860247994</v>
      </c>
      <c r="F58" s="1">
        <f t="shared" si="1"/>
        <v>3.9057091441536892E-3</v>
      </c>
      <c r="G58" s="2">
        <f>VLOOKUP(A58,migr!$A$1:$H$210,8,FALSE)</f>
        <v>0.99299159323366104</v>
      </c>
      <c r="H58" s="2">
        <f>VLOOKUP(B58,localidades!$B$1:$E$20,3,FALSE)</f>
        <v>-74.194388716263504</v>
      </c>
      <c r="I58" s="2">
        <f>VLOOKUP(B58,localidades!$H$1:$K$20,4,FALSE)</f>
        <v>4.6217797878632698</v>
      </c>
      <c r="J58" s="1">
        <f>VLOOKUP(A58,def_hab!$A$1:$E$210,5,FALSE)</f>
        <v>4.1837584610242902E-2</v>
      </c>
      <c r="K58">
        <f>VLOOKUP(A58,ing_prom!$A$1:$D$229,4,FALSE)</f>
        <v>563504.78512017406</v>
      </c>
    </row>
    <row r="59" spans="1:11" x14ac:dyDescent="0.25">
      <c r="A59" t="str">
        <f t="shared" si="0"/>
        <v>Chapinero2017</v>
      </c>
      <c r="B59" t="s">
        <v>18</v>
      </c>
      <c r="C59">
        <v>2017</v>
      </c>
      <c r="D59" s="1">
        <f>VLOOKUP(B59,share!$A$1:$C$20,3,FALSE)</f>
        <v>0.17577319587628865</v>
      </c>
      <c r="E59" s="1">
        <f>VLOOKUP(C59,shift!$A$1:$C$15,3,FALSE)</f>
        <v>1.1014305115915302</v>
      </c>
      <c r="F59" s="1">
        <f t="shared" si="1"/>
        <v>0.19360196105809885</v>
      </c>
      <c r="G59" s="2">
        <f>VLOOKUP(A59,migr!$A$1:$H$210,8,FALSE)</f>
        <v>0.41038425214343799</v>
      </c>
      <c r="H59" s="2">
        <f>VLOOKUP(B59,localidades!$B$1:$E$20,3,FALSE)</f>
        <v>-74.036938848703201</v>
      </c>
      <c r="I59" s="2">
        <f>VLOOKUP(B59,localidades!$H$1:$K$20,4,FALSE)</f>
        <v>4.64492441542754</v>
      </c>
      <c r="J59" s="1">
        <f>VLOOKUP(A59,def_hab!$A$1:$E$210,5,FALSE)</f>
        <v>4.0147488842212304E-3</v>
      </c>
      <c r="K59">
        <f>VLOOKUP(A59,ing_prom!$A$1:$D$229,4,FALSE)</f>
        <v>2766692.699</v>
      </c>
    </row>
    <row r="60" spans="1:11" x14ac:dyDescent="0.25">
      <c r="A60" t="str">
        <f t="shared" si="0"/>
        <v>Teusaquillo2017</v>
      </c>
      <c r="B60" t="s">
        <v>17</v>
      </c>
      <c r="C60">
        <v>2017</v>
      </c>
      <c r="D60" s="1">
        <f>VLOOKUP(B60,share!$A$1:$C$20,3,FALSE)</f>
        <v>0.15068728522336769</v>
      </c>
      <c r="E60" s="1">
        <f>VLOOKUP(C60,shift!$A$1:$C$15,3,FALSE)</f>
        <v>1.1014305115915302</v>
      </c>
      <c r="F60" s="1">
        <f t="shared" si="1"/>
        <v>0.16597157365391269</v>
      </c>
      <c r="G60" s="2">
        <f>VLOOKUP(A60,migr!$A$1:$H$210,8,FALSE)</f>
        <v>0.22419217764187199</v>
      </c>
      <c r="H60" s="2">
        <f>VLOOKUP(B60,localidades!$B$1:$E$20,3,FALSE)</f>
        <v>-74.085768890680001</v>
      </c>
      <c r="I60" s="2">
        <f>VLOOKUP(B60,localidades!$H$1:$K$20,4,FALSE)</f>
        <v>4.6411735516069603</v>
      </c>
      <c r="J60" s="1">
        <f>VLOOKUP(A60,def_hab!$A$1:$E$210,5,FALSE)</f>
        <v>2.8870606608492102E-4</v>
      </c>
      <c r="K60">
        <f>VLOOKUP(A60,ing_prom!$A$1:$D$229,4,FALSE)</f>
        <v>2825049.5649999999</v>
      </c>
    </row>
    <row r="61" spans="1:11" x14ac:dyDescent="0.25">
      <c r="A61" t="str">
        <f t="shared" si="0"/>
        <v>Usaquén2017</v>
      </c>
      <c r="B61" t="s">
        <v>10</v>
      </c>
      <c r="C61">
        <v>2017</v>
      </c>
      <c r="D61" s="1">
        <f>VLOOKUP(B61,share!$A$1:$C$20,3,FALSE)</f>
        <v>0.14725085910652921</v>
      </c>
      <c r="E61" s="1">
        <f>VLOOKUP(C61,shift!$A$1:$C$15,3,FALSE)</f>
        <v>1.1014305115915302</v>
      </c>
      <c r="F61" s="1">
        <f t="shared" si="1"/>
        <v>0.1621865890779968</v>
      </c>
      <c r="G61" s="2">
        <f>VLOOKUP(A61,migr!$A$1:$H$210,8,FALSE)</f>
        <v>1.97196243459385</v>
      </c>
      <c r="H61" s="2">
        <f>VLOOKUP(B61,localidades!$B$1:$E$20,3,FALSE)</f>
        <v>-74.027882368779103</v>
      </c>
      <c r="I61" s="2">
        <f>VLOOKUP(B61,localidades!$H$1:$K$20,4,FALSE)</f>
        <v>4.7419260292461196</v>
      </c>
      <c r="J61" s="1">
        <f>VLOOKUP(A61,def_hab!$A$1:$E$210,5,FALSE)</f>
        <v>9.1685933675532093E-3</v>
      </c>
      <c r="K61">
        <f>VLOOKUP(A61,ing_prom!$A$1:$D$229,4,FALSE)</f>
        <v>1974102.1810000001</v>
      </c>
    </row>
    <row r="62" spans="1:11" x14ac:dyDescent="0.25">
      <c r="A62" t="str">
        <f t="shared" si="0"/>
        <v>Suba2017</v>
      </c>
      <c r="B62" t="s">
        <v>6</v>
      </c>
      <c r="C62">
        <v>2017</v>
      </c>
      <c r="D62" s="1">
        <f>VLOOKUP(B62,share!$A$1:$C$20,3,FALSE)</f>
        <v>0.10876288659793815</v>
      </c>
      <c r="E62" s="1">
        <f>VLOOKUP(C62,shift!$A$1:$C$15,3,FALSE)</f>
        <v>1.1014305115915302</v>
      </c>
      <c r="F62" s="1">
        <f t="shared" si="1"/>
        <v>0.11979476182773859</v>
      </c>
      <c r="G62" s="2">
        <f>VLOOKUP(A62,migr!$A$1:$H$210,8,FALSE)</f>
        <v>3.7963290026241099</v>
      </c>
      <c r="H62" s="2">
        <f>VLOOKUP(B62,localidades!$B$1:$E$20,3,FALSE)</f>
        <v>-74.075845800487997</v>
      </c>
      <c r="I62" s="2">
        <f>VLOOKUP(B62,localidades!$H$1:$K$20,4,FALSE)</f>
        <v>4.76320652488001</v>
      </c>
      <c r="J62" s="1">
        <f>VLOOKUP(A62,def_hab!$A$1:$E$210,5,FALSE)</f>
        <v>1.905276528453E-2</v>
      </c>
      <c r="K62">
        <f>VLOOKUP(A62,ing_prom!$A$1:$D$229,4,FALSE)</f>
        <v>1492605.895</v>
      </c>
    </row>
    <row r="63" spans="1:11" x14ac:dyDescent="0.25">
      <c r="A63" t="str">
        <f t="shared" si="0"/>
        <v>Barrios Unidos2017</v>
      </c>
      <c r="B63" t="s">
        <v>15</v>
      </c>
      <c r="C63">
        <v>2017</v>
      </c>
      <c r="D63" s="1">
        <f>VLOOKUP(B63,share!$A$1:$C$20,3,FALSE)</f>
        <v>7.1993127147766317E-2</v>
      </c>
      <c r="E63" s="1">
        <f>VLOOKUP(C63,shift!$A$1:$C$15,3,FALSE)</f>
        <v>1.1014305115915302</v>
      </c>
      <c r="F63" s="1">
        <f t="shared" si="1"/>
        <v>7.9295426865438334E-2</v>
      </c>
      <c r="G63" s="2">
        <f>VLOOKUP(A63,migr!$A$1:$H$210,8,FALSE)</f>
        <v>0.28907986275220499</v>
      </c>
      <c r="H63" s="2">
        <f>VLOOKUP(B63,localidades!$B$1:$E$20,3,FALSE)</f>
        <v>-74.073551677463399</v>
      </c>
      <c r="I63" s="2">
        <f>VLOOKUP(B63,localidades!$H$1:$K$20,4,FALSE)</f>
        <v>4.6695668454366004</v>
      </c>
      <c r="J63" s="1">
        <f>VLOOKUP(A63,def_hab!$A$1:$E$210,5,FALSE)</f>
        <v>6.8536210576005899E-3</v>
      </c>
      <c r="K63">
        <f>VLOOKUP(A63,ing_prom!$A$1:$D$229,4,FALSE)</f>
        <v>1650302.577</v>
      </c>
    </row>
    <row r="64" spans="1:11" x14ac:dyDescent="0.25">
      <c r="A64" t="str">
        <f t="shared" si="0"/>
        <v>Engativá2017</v>
      </c>
      <c r="B64" t="s">
        <v>7</v>
      </c>
      <c r="C64">
        <v>2017</v>
      </c>
      <c r="D64" s="1">
        <f>VLOOKUP(B64,share!$A$1:$C$20,3,FALSE)</f>
        <v>6.0309278350515465E-2</v>
      </c>
      <c r="E64" s="1">
        <f>VLOOKUP(C64,shift!$A$1:$C$15,3,FALSE)</f>
        <v>1.1014305115915302</v>
      </c>
      <c r="F64" s="1">
        <f t="shared" si="1"/>
        <v>6.6426479307324246E-2</v>
      </c>
      <c r="G64" s="2">
        <f>VLOOKUP(A64,migr!$A$1:$H$210,8,FALSE)</f>
        <v>2.1400146758365</v>
      </c>
      <c r="H64" s="2">
        <f>VLOOKUP(B64,localidades!$B$1:$E$20,3,FALSE)</f>
        <v>-74.113187148077898</v>
      </c>
      <c r="I64" s="2">
        <f>VLOOKUP(B64,localidades!$H$1:$K$20,4,FALSE)</f>
        <v>4.70112526984326</v>
      </c>
      <c r="J64" s="1">
        <f>VLOOKUP(A64,def_hab!$A$1:$E$210,5,FALSE)</f>
        <v>1.50253097176131E-2</v>
      </c>
      <c r="K64">
        <f>VLOOKUP(A64,ing_prom!$A$1:$D$229,4,FALSE)</f>
        <v>1103347.557</v>
      </c>
    </row>
    <row r="65" spans="1:11" x14ac:dyDescent="0.25">
      <c r="A65" t="str">
        <f t="shared" si="0"/>
        <v>Fontibón2017</v>
      </c>
      <c r="B65" t="s">
        <v>13</v>
      </c>
      <c r="C65">
        <v>2017</v>
      </c>
      <c r="D65" s="1">
        <f>VLOOKUP(B65,share!$A$1:$C$20,3,FALSE)</f>
        <v>5.0171821305841927E-2</v>
      </c>
      <c r="E65" s="1">
        <f>VLOOKUP(C65,shift!$A$1:$C$15,3,FALSE)</f>
        <v>1.1014305115915302</v>
      </c>
      <c r="F65" s="1">
        <f t="shared" si="1"/>
        <v>5.5260774808372305E-2</v>
      </c>
      <c r="G65" s="2">
        <f>VLOOKUP(A65,migr!$A$1:$H$210,8,FALSE)</f>
        <v>0.94105794234111795</v>
      </c>
      <c r="H65" s="2">
        <f>VLOOKUP(B65,localidades!$B$1:$E$20,3,FALSE)</f>
        <v>-74.140150765275294</v>
      </c>
      <c r="I65" s="2">
        <f>VLOOKUP(B65,localidades!$H$1:$K$20,4,FALSE)</f>
        <v>4.6781827131162403</v>
      </c>
      <c r="J65" s="1">
        <f>VLOOKUP(A65,def_hab!$A$1:$E$210,5,FALSE)</f>
        <v>1.4993562583195201E-2</v>
      </c>
      <c r="K65">
        <f>VLOOKUP(A65,ing_prom!$A$1:$D$229,4,FALSE)</f>
        <v>1395651.4040000001</v>
      </c>
    </row>
    <row r="66" spans="1:11" x14ac:dyDescent="0.25">
      <c r="A66" t="str">
        <f t="shared" si="0"/>
        <v>Kennedy2017</v>
      </c>
      <c r="B66" t="s">
        <v>5</v>
      </c>
      <c r="C66">
        <v>2017</v>
      </c>
      <c r="D66" s="1">
        <f>VLOOKUP(B66,share!$A$1:$C$20,3,FALSE)</f>
        <v>4.6907216494845361E-2</v>
      </c>
      <c r="E66" s="1">
        <f>VLOOKUP(C66,shift!$A$1:$C$15,3,FALSE)</f>
        <v>1.1014305115915302</v>
      </c>
      <c r="F66" s="1">
        <f t="shared" si="1"/>
        <v>5.1665039461252185E-2</v>
      </c>
      <c r="G66" s="2">
        <f>VLOOKUP(A66,migr!$A$1:$H$210,8,FALSE)</f>
        <v>3.2731849138783198</v>
      </c>
      <c r="H66" s="2">
        <f>VLOOKUP(B66,localidades!$B$1:$E$20,3,FALSE)</f>
        <v>-74.152667580564398</v>
      </c>
      <c r="I66" s="2">
        <f>VLOOKUP(B66,localidades!$H$1:$K$20,4,FALSE)</f>
        <v>4.6303471220515098</v>
      </c>
      <c r="J66" s="1">
        <f>VLOOKUP(A66,def_hab!$A$1:$E$210,5,FALSE)</f>
        <v>2.4579078488460099E-2</v>
      </c>
      <c r="K66">
        <f>VLOOKUP(A66,ing_prom!$A$1:$D$229,4,FALSE)</f>
        <v>907997.27139999997</v>
      </c>
    </row>
    <row r="67" spans="1:11" x14ac:dyDescent="0.25">
      <c r="A67" t="str">
        <f t="shared" ref="A67:A130" si="2">B67&amp;C67</f>
        <v>Antonio Nariño2017</v>
      </c>
      <c r="B67" t="s">
        <v>19</v>
      </c>
      <c r="C67">
        <v>2017</v>
      </c>
      <c r="D67" s="1">
        <f>VLOOKUP(B67,share!$A$1:$C$20,3,FALSE)</f>
        <v>2.7663230240549827E-2</v>
      </c>
      <c r="E67" s="1">
        <f>VLOOKUP(C67,shift!$A$1:$C$15,3,FALSE)</f>
        <v>1.1014305115915302</v>
      </c>
      <c r="F67" s="1">
        <f t="shared" ref="F67:F130" si="3">D67*E67</f>
        <v>3.0469125836123084E-2</v>
      </c>
      <c r="G67" s="2">
        <f>VLOOKUP(A67,migr!$A$1:$H$210,8,FALSE)</f>
        <v>0.28064086767122998</v>
      </c>
      <c r="H67" s="2">
        <f>VLOOKUP(B67,localidades!$B$1:$E$20,3,FALSE)</f>
        <v>-74.102842336786907</v>
      </c>
      <c r="I67" s="2">
        <f>VLOOKUP(B67,localidades!$H$1:$K$20,4,FALSE)</f>
        <v>4.5887707178273196</v>
      </c>
      <c r="J67" s="1">
        <f>VLOOKUP(A67,def_hab!$A$1:$E$210,5,FALSE)</f>
        <v>1.2506473780901899E-2</v>
      </c>
      <c r="K67">
        <f>VLOOKUP(A67,ing_prom!$A$1:$D$229,4,FALSE)</f>
        <v>901700.70990000002</v>
      </c>
    </row>
    <row r="68" spans="1:11" x14ac:dyDescent="0.25">
      <c r="A68" t="str">
        <f t="shared" si="2"/>
        <v>La Candelaria2017</v>
      </c>
      <c r="B68" t="s">
        <v>22</v>
      </c>
      <c r="C68">
        <v>2017</v>
      </c>
      <c r="D68" s="1">
        <f>VLOOKUP(B68,share!$A$1:$C$20,3,FALSE)</f>
        <v>8.4192439862542951E-3</v>
      </c>
      <c r="E68" s="1">
        <f>VLOOKUP(C68,shift!$A$1:$C$15,3,FALSE)</f>
        <v>1.1014305115915302</v>
      </c>
      <c r="F68" s="1">
        <f t="shared" si="3"/>
        <v>9.2732122109939821E-3</v>
      </c>
      <c r="G68" s="2">
        <f>VLOOKUP(A68,migr!$A$1:$H$210,8,FALSE)</f>
        <v>8.1670927647388994E-2</v>
      </c>
      <c r="H68" s="2">
        <f>VLOOKUP(B68,localidades!$B$1:$E$20,3,FALSE)</f>
        <v>-74.072070819324594</v>
      </c>
      <c r="I68" s="2">
        <f>VLOOKUP(B68,localidades!$H$1:$K$20,4,FALSE)</f>
        <v>4.59660507502144</v>
      </c>
      <c r="J68" s="1">
        <f>VLOOKUP(A68,def_hab!$A$1:$E$210,5,FALSE)</f>
        <v>1.75213689088447E-3</v>
      </c>
      <c r="K68">
        <f>VLOOKUP(A68,ing_prom!$A$1:$D$229,4,FALSE)</f>
        <v>1335213.2379999999</v>
      </c>
    </row>
    <row r="69" spans="1:11" x14ac:dyDescent="0.25">
      <c r="A69" t="str">
        <f t="shared" si="2"/>
        <v>Santa Fe2017</v>
      </c>
      <c r="B69" t="s">
        <v>20</v>
      </c>
      <c r="C69">
        <v>2017</v>
      </c>
      <c r="D69" s="1">
        <f>VLOOKUP(B69,share!$A$1:$C$20,3,FALSE)</f>
        <v>1.5979381443298968E-2</v>
      </c>
      <c r="E69" s="1">
        <f>VLOOKUP(C69,shift!$A$1:$C$15,3,FALSE)</f>
        <v>1.1014305115915302</v>
      </c>
      <c r="F69" s="1">
        <f t="shared" si="3"/>
        <v>1.7600178278008985E-2</v>
      </c>
      <c r="G69" s="2">
        <f>VLOOKUP(A69,migr!$A$1:$H$210,8,FALSE)</f>
        <v>0.42165031455326601</v>
      </c>
      <c r="H69" s="2">
        <f>VLOOKUP(B69,localidades!$B$1:$E$20,3,FALSE)</f>
        <v>-74.0362173927127</v>
      </c>
      <c r="I69" s="2">
        <f>VLOOKUP(B69,localidades!$H$1:$K$20,4,FALSE)</f>
        <v>4.5939727566360302</v>
      </c>
      <c r="J69" s="1">
        <f>VLOOKUP(A69,def_hab!$A$1:$E$210,5,FALSE)</f>
        <v>4.3489899090133101E-2</v>
      </c>
      <c r="K69">
        <f>VLOOKUP(A69,ing_prom!$A$1:$D$229,4,FALSE)</f>
        <v>1040477.868</v>
      </c>
    </row>
    <row r="70" spans="1:11" x14ac:dyDescent="0.25">
      <c r="A70" t="str">
        <f t="shared" si="2"/>
        <v>Puente Aranda2017</v>
      </c>
      <c r="B70" t="s">
        <v>14</v>
      </c>
      <c r="C70">
        <v>2017</v>
      </c>
      <c r="D70" s="1">
        <f>VLOOKUP(B70,share!$A$1:$C$20,3,FALSE)</f>
        <v>3.1786941580756012E-2</v>
      </c>
      <c r="E70" s="1">
        <f>VLOOKUP(C70,shift!$A$1:$C$15,3,FALSE)</f>
        <v>1.1014305115915302</v>
      </c>
      <c r="F70" s="1">
        <f t="shared" si="3"/>
        <v>3.501110732722218E-2</v>
      </c>
      <c r="G70" s="2">
        <f>VLOOKUP(A70,migr!$A$1:$H$210,8,FALSE)</f>
        <v>0.33027702596734498</v>
      </c>
      <c r="H70" s="2">
        <f>VLOOKUP(B70,localidades!$B$1:$E$20,3,FALSE)</f>
        <v>-74.111580402476093</v>
      </c>
      <c r="I70" s="2">
        <f>VLOOKUP(B70,localidades!$H$1:$K$20,4,FALSE)</f>
        <v>4.6162453592553296</v>
      </c>
      <c r="J70" s="1">
        <f>VLOOKUP(A70,def_hab!$A$1:$E$210,5,FALSE)</f>
        <v>1.21626797142706E-2</v>
      </c>
      <c r="K70">
        <f>VLOOKUP(A70,ing_prom!$A$1:$D$229,4,FALSE)</f>
        <v>875303.53579999995</v>
      </c>
    </row>
    <row r="71" spans="1:11" x14ac:dyDescent="0.25">
      <c r="A71" t="str">
        <f t="shared" si="2"/>
        <v>Los Mártires2017</v>
      </c>
      <c r="B71" t="s">
        <v>21</v>
      </c>
      <c r="C71">
        <v>2017</v>
      </c>
      <c r="D71" s="1">
        <f>VLOOKUP(B71,share!$A$1:$C$20,3,FALSE)</f>
        <v>1.5120274914089347E-2</v>
      </c>
      <c r="E71" s="1">
        <f>VLOOKUP(C71,shift!$A$1:$C$15,3,FALSE)</f>
        <v>1.1014305115915302</v>
      </c>
      <c r="F71" s="1">
        <f t="shared" si="3"/>
        <v>1.6653932134030009E-2</v>
      </c>
      <c r="G71" s="2">
        <f>VLOOKUP(A71,migr!$A$1:$H$210,8,FALSE)</f>
        <v>0.82383350739272398</v>
      </c>
      <c r="H71" s="2">
        <f>VLOOKUP(B71,localidades!$B$1:$E$20,3,FALSE)</f>
        <v>-74.087947983810096</v>
      </c>
      <c r="I71" s="2">
        <f>VLOOKUP(B71,localidades!$H$1:$K$20,4,FALSE)</f>
        <v>4.6071559155114903</v>
      </c>
      <c r="J71" s="1">
        <f>VLOOKUP(A71,def_hab!$A$1:$E$210,5,FALSE)</f>
        <v>1.9909465973205202E-2</v>
      </c>
      <c r="K71">
        <f>VLOOKUP(A71,ing_prom!$A$1:$D$229,4,FALSE)</f>
        <v>993702.69469999999</v>
      </c>
    </row>
    <row r="72" spans="1:11" x14ac:dyDescent="0.25">
      <c r="A72" t="str">
        <f t="shared" si="2"/>
        <v>Tunjuelito2017</v>
      </c>
      <c r="B72" t="s">
        <v>16</v>
      </c>
      <c r="C72">
        <v>2017</v>
      </c>
      <c r="D72" s="1">
        <f>VLOOKUP(B72,share!$A$1:$C$20,3,FALSE)</f>
        <v>7.5601374570446736E-3</v>
      </c>
      <c r="E72" s="1">
        <f>VLOOKUP(C72,shift!$A$1:$C$15,3,FALSE)</f>
        <v>1.1014305115915302</v>
      </c>
      <c r="F72" s="1">
        <f t="shared" si="3"/>
        <v>8.3269660670150045E-3</v>
      </c>
      <c r="G72" s="2">
        <f>VLOOKUP(A72,migr!$A$1:$H$210,8,FALSE)</f>
        <v>0.60888634698195698</v>
      </c>
      <c r="H72" s="2">
        <f>VLOOKUP(B72,localidades!$B$1:$E$20,3,FALSE)</f>
        <v>-74.135989244733693</v>
      </c>
      <c r="I72" s="2">
        <f>VLOOKUP(B72,localidades!$H$1:$K$20,4,FALSE)</f>
        <v>4.5748411850953001</v>
      </c>
      <c r="J72" s="1">
        <f>VLOOKUP(A72,def_hab!$A$1:$E$210,5,FALSE)</f>
        <v>3.6129295608424997E-2</v>
      </c>
      <c r="K72">
        <f>VLOOKUP(A72,ing_prom!$A$1:$D$229,4,FALSE)</f>
        <v>788122.15789999999</v>
      </c>
    </row>
    <row r="73" spans="1:11" x14ac:dyDescent="0.25">
      <c r="A73" t="str">
        <f t="shared" si="2"/>
        <v>San Cristóbal2017</v>
      </c>
      <c r="B73" t="s">
        <v>11</v>
      </c>
      <c r="C73">
        <v>2017</v>
      </c>
      <c r="D73" s="1">
        <f>VLOOKUP(B73,share!$A$1:$C$20,3,FALSE)</f>
        <v>2.2508591065292096E-2</v>
      </c>
      <c r="E73" s="1">
        <f>VLOOKUP(C73,shift!$A$1:$C$15,3,FALSE)</f>
        <v>1.1014305115915302</v>
      </c>
      <c r="F73" s="1">
        <f t="shared" si="3"/>
        <v>2.4791648972249218E-2</v>
      </c>
      <c r="G73" s="2">
        <f>VLOOKUP(A73,migr!$A$1:$H$210,8,FALSE)</f>
        <v>0.56890985298697805</v>
      </c>
      <c r="H73" s="2">
        <f>VLOOKUP(B73,localidades!$B$1:$E$20,3,FALSE)</f>
        <v>-74.066072400776207</v>
      </c>
      <c r="I73" s="2">
        <f>VLOOKUP(B73,localidades!$H$1:$K$20,4,FALSE)</f>
        <v>4.5487488041769897</v>
      </c>
      <c r="J73" s="1">
        <f>VLOOKUP(A73,def_hab!$A$1:$E$210,5,FALSE)</f>
        <v>4.2183379609494601E-2</v>
      </c>
      <c r="K73">
        <f>VLOOKUP(A73,ing_prom!$A$1:$D$229,4,FALSE)</f>
        <v>711523.39870000002</v>
      </c>
    </row>
    <row r="74" spans="1:11" x14ac:dyDescent="0.25">
      <c r="A74" t="str">
        <f t="shared" si="2"/>
        <v>Rafael Uribe2017</v>
      </c>
      <c r="B74" t="s">
        <v>29</v>
      </c>
      <c r="C74">
        <v>2017</v>
      </c>
      <c r="D74" s="1">
        <f>VLOOKUP(B74,share!$A$1:$C$20,3,FALSE)</f>
        <v>1.9243986254295534E-2</v>
      </c>
      <c r="E74" s="1">
        <f>VLOOKUP(C74,shift!$A$1:$C$15,3,FALSE)</f>
        <v>1.1014305115915302</v>
      </c>
      <c r="F74" s="1">
        <f t="shared" si="3"/>
        <v>2.1195913625129105E-2</v>
      </c>
      <c r="G74" s="2">
        <f>VLOOKUP(A74,migr!$A$1:$H$210,8,FALSE)</f>
        <v>1.27630490603833</v>
      </c>
      <c r="H74" s="2">
        <f>VLOOKUP(B74,localidades!$B$1:$E$20,3,FALSE)</f>
        <v>-74.113363102222095</v>
      </c>
      <c r="I74" s="2">
        <f>VLOOKUP(B74,localidades!$H$1:$K$20,4,FALSE)</f>
        <v>4.5664766672516102</v>
      </c>
      <c r="J74" s="1">
        <f>VLOOKUP(A74,def_hab!$A$1:$E$210,5,FALSE)</f>
        <v>3.7527519278982999E-2</v>
      </c>
      <c r="K74">
        <f>VLOOKUP(A74,ing_prom!$A$1:$D$229,4,FALSE)</f>
        <v>760153.03830000001</v>
      </c>
    </row>
    <row r="75" spans="1:11" x14ac:dyDescent="0.25">
      <c r="A75" t="str">
        <f t="shared" si="2"/>
        <v>Ciudad Bolívar2017</v>
      </c>
      <c r="B75" t="s">
        <v>8</v>
      </c>
      <c r="C75">
        <v>2017</v>
      </c>
      <c r="D75" s="1">
        <f>VLOOKUP(B75,share!$A$1:$C$20,3,FALSE)</f>
        <v>6.7010309278350512E-3</v>
      </c>
      <c r="E75" s="1">
        <f>VLOOKUP(C75,shift!$A$1:$C$15,3,FALSE)</f>
        <v>1.1014305115915302</v>
      </c>
      <c r="F75" s="1">
        <f t="shared" si="3"/>
        <v>7.3807199230360261E-3</v>
      </c>
      <c r="G75" s="2">
        <f>VLOOKUP(A75,migr!$A$1:$H$210,8,FALSE)</f>
        <v>2.1142534783694198</v>
      </c>
      <c r="H75" s="2">
        <f>VLOOKUP(B75,localidades!$B$1:$E$20,3,FALSE)</f>
        <v>-74.161960022510598</v>
      </c>
      <c r="I75" s="2">
        <f>VLOOKUP(B75,localidades!$H$1:$K$20,4,FALSE)</f>
        <v>4.48245576116999</v>
      </c>
      <c r="J75" s="1">
        <f>VLOOKUP(A75,def_hab!$A$1:$E$210,5,FALSE)</f>
        <v>5.6590012481831001E-2</v>
      </c>
      <c r="K75" t="e">
        <f>VLOOKUP(A75,ing_prom!$A$1:$D$229,4,FALSE)</f>
        <v>#N/A</v>
      </c>
    </row>
    <row r="76" spans="1:11" x14ac:dyDescent="0.25">
      <c r="A76" t="str">
        <f t="shared" si="2"/>
        <v>Usme2017</v>
      </c>
      <c r="B76" t="s">
        <v>12</v>
      </c>
      <c r="C76">
        <v>2017</v>
      </c>
      <c r="D76" s="1">
        <f>VLOOKUP(B76,share!$A$1:$C$20,3,FALSE)</f>
        <v>7.2164948453608251E-3</v>
      </c>
      <c r="E76" s="1">
        <f>VLOOKUP(C76,shift!$A$1:$C$15,3,FALSE)</f>
        <v>1.1014305115915302</v>
      </c>
      <c r="F76" s="1">
        <f t="shared" si="3"/>
        <v>7.9484676094234135E-3</v>
      </c>
      <c r="G76" s="2">
        <f>VLOOKUP(A76,migr!$A$1:$H$210,8,FALSE)</f>
        <v>1.2048446167717699</v>
      </c>
      <c r="H76" s="2">
        <f>VLOOKUP(B76,localidades!$B$1:$E$20,3,FALSE)</f>
        <v>-74.142812024697704</v>
      </c>
      <c r="I76" s="2">
        <f>VLOOKUP(B76,localidades!$H$1:$K$20,4,FALSE)</f>
        <v>4.3900190318873902</v>
      </c>
      <c r="J76" s="1">
        <f>VLOOKUP(A76,def_hab!$A$1:$E$210,5,FALSE)</f>
        <v>5.5538500268850197E-2</v>
      </c>
      <c r="K76">
        <f>VLOOKUP(A76,ing_prom!$A$1:$D$229,4,FALSE)</f>
        <v>646541.51489999995</v>
      </c>
    </row>
    <row r="77" spans="1:11" x14ac:dyDescent="0.25">
      <c r="A77" t="str">
        <f t="shared" si="2"/>
        <v>Bosa2017</v>
      </c>
      <c r="B77" t="s">
        <v>9</v>
      </c>
      <c r="C77">
        <v>2017</v>
      </c>
      <c r="D77" s="1">
        <f>VLOOKUP(B77,share!$A$1:$C$20,3,FALSE)</f>
        <v>2.5945017182130586E-2</v>
      </c>
      <c r="E77" s="1">
        <f>VLOOKUP(C77,shift!$A$1:$C$15,3,FALSE)</f>
        <v>1.1014305115915302</v>
      </c>
      <c r="F77" s="1">
        <f t="shared" si="3"/>
        <v>2.8576633548165132E-2</v>
      </c>
      <c r="G77" s="2">
        <f>VLOOKUP(A77,migr!$A$1:$H$210,8,FALSE)</f>
        <v>2.07651619260414</v>
      </c>
      <c r="H77" s="2">
        <f>VLOOKUP(B77,localidades!$B$1:$E$20,3,FALSE)</f>
        <v>-74.194388716263504</v>
      </c>
      <c r="I77" s="2">
        <f>VLOOKUP(B77,localidades!$H$1:$K$20,4,FALSE)</f>
        <v>4.6217797878632698</v>
      </c>
      <c r="J77" s="1">
        <f>VLOOKUP(A77,def_hab!$A$1:$E$210,5,FALSE)</f>
        <v>4.05925127743244E-2</v>
      </c>
      <c r="K77">
        <f>VLOOKUP(A77,ing_prom!$A$1:$D$229,4,FALSE)</f>
        <v>678968.3027</v>
      </c>
    </row>
    <row r="78" spans="1:11" x14ac:dyDescent="0.25">
      <c r="A78" t="str">
        <f t="shared" si="2"/>
        <v>Chapinero2018</v>
      </c>
      <c r="B78" t="s">
        <v>18</v>
      </c>
      <c r="C78">
        <v>2018</v>
      </c>
      <c r="D78" s="1">
        <f>VLOOKUP(B78,share!$A$1:$C$20,3,FALSE)</f>
        <v>0.17577319587628865</v>
      </c>
      <c r="E78" s="1">
        <f>VLOOKUP(C78,shift!$A$1:$C$15,3,FALSE)</f>
        <v>0.70735427249409044</v>
      </c>
      <c r="F78" s="1">
        <f t="shared" si="3"/>
        <v>0.12433392109303341</v>
      </c>
      <c r="G78" s="2">
        <f>VLOOKUP(A78,migr!$A$1:$H$210,8,FALSE)</f>
        <v>0.69563537098478301</v>
      </c>
      <c r="H78" s="2">
        <f>VLOOKUP(B78,localidades!$B$1:$E$20,3,FALSE)</f>
        <v>-74.036938848703201</v>
      </c>
      <c r="I78" s="2">
        <f>VLOOKUP(B78,localidades!$H$1:$K$20,4,FALSE)</f>
        <v>4.64492441542754</v>
      </c>
      <c r="J78" s="1">
        <f>VLOOKUP(A78,def_hab!$A$1:$E$210,5,FALSE)</f>
        <v>3.88369127530845E-3</v>
      </c>
      <c r="K78">
        <f>VLOOKUP(A78,ing_prom!$A$1:$D$229,4,FALSE)</f>
        <v>2857163.5502573</v>
      </c>
    </row>
    <row r="79" spans="1:11" x14ac:dyDescent="0.25">
      <c r="A79" t="str">
        <f t="shared" si="2"/>
        <v>Teusaquillo2018</v>
      </c>
      <c r="B79" t="s">
        <v>17</v>
      </c>
      <c r="C79">
        <v>2018</v>
      </c>
      <c r="D79" s="1">
        <f>VLOOKUP(B79,share!$A$1:$C$20,3,FALSE)</f>
        <v>0.15068728522336769</v>
      </c>
      <c r="E79" s="1">
        <f>VLOOKUP(C79,shift!$A$1:$C$15,3,FALSE)</f>
        <v>0.70735427249409044</v>
      </c>
      <c r="F79" s="1">
        <f t="shared" si="3"/>
        <v>0.10658929501328476</v>
      </c>
      <c r="G79" s="2">
        <f>VLOOKUP(A79,migr!$A$1:$H$210,8,FALSE)</f>
        <v>0.38002434998719198</v>
      </c>
      <c r="H79" s="2">
        <f>VLOOKUP(B79,localidades!$B$1:$E$20,3,FALSE)</f>
        <v>-74.085768890680001</v>
      </c>
      <c r="I79" s="2">
        <f>VLOOKUP(B79,localidades!$H$1:$K$20,4,FALSE)</f>
        <v>4.6411735516069603</v>
      </c>
      <c r="J79" s="1">
        <f>VLOOKUP(A79,def_hab!$A$1:$E$210,5,FALSE)</f>
        <v>2.7928153474040499E-4</v>
      </c>
      <c r="K79">
        <f>VLOOKUP(A79,ing_prom!$A$1:$D$229,4,FALSE)</f>
        <v>2917428.6857754998</v>
      </c>
    </row>
    <row r="80" spans="1:11" x14ac:dyDescent="0.25">
      <c r="A80" t="str">
        <f t="shared" si="2"/>
        <v>Usaquén2018</v>
      </c>
      <c r="B80" t="s">
        <v>10</v>
      </c>
      <c r="C80">
        <v>2018</v>
      </c>
      <c r="D80" s="1">
        <f>VLOOKUP(B80,share!$A$1:$C$20,3,FALSE)</f>
        <v>0.14725085910652921</v>
      </c>
      <c r="E80" s="1">
        <f>VLOOKUP(C80,shift!$A$1:$C$15,3,FALSE)</f>
        <v>0.70735427249409044</v>
      </c>
      <c r="F80" s="1">
        <f t="shared" si="3"/>
        <v>0.10415852431742878</v>
      </c>
      <c r="G80" s="2">
        <f>VLOOKUP(A80,migr!$A$1:$H$210,8,FALSE)</f>
        <v>3.3426400077293499</v>
      </c>
      <c r="H80" s="2">
        <f>VLOOKUP(B80,localidades!$B$1:$E$20,3,FALSE)</f>
        <v>-74.027882368779103</v>
      </c>
      <c r="I80" s="2">
        <f>VLOOKUP(B80,localidades!$H$1:$K$20,4,FALSE)</f>
        <v>4.7419260292461196</v>
      </c>
      <c r="J80" s="1">
        <f>VLOOKUP(A80,def_hab!$A$1:$E$210,5,FALSE)</f>
        <v>8.8692934714706094E-3</v>
      </c>
      <c r="K80">
        <f>VLOOKUP(A80,ing_prom!$A$1:$D$229,4,FALSE)</f>
        <v>2038655.3223186999</v>
      </c>
    </row>
    <row r="81" spans="1:11" x14ac:dyDescent="0.25">
      <c r="A81" t="str">
        <f t="shared" si="2"/>
        <v>Suba2018</v>
      </c>
      <c r="B81" t="s">
        <v>6</v>
      </c>
      <c r="C81">
        <v>2018</v>
      </c>
      <c r="D81" s="1">
        <f>VLOOKUP(B81,share!$A$1:$C$20,3,FALSE)</f>
        <v>0.10876288659793815</v>
      </c>
      <c r="E81" s="1">
        <f>VLOOKUP(C81,shift!$A$1:$C$15,3,FALSE)</f>
        <v>0.70735427249409044</v>
      </c>
      <c r="F81" s="1">
        <f t="shared" si="3"/>
        <v>7.6933892523841793E-2</v>
      </c>
      <c r="G81" s="2">
        <f>VLOOKUP(A81,migr!$A$1:$H$210,8,FALSE)</f>
        <v>6.4350927705619503</v>
      </c>
      <c r="H81" s="2">
        <f>VLOOKUP(B81,localidades!$B$1:$E$20,3,FALSE)</f>
        <v>-74.075845800487997</v>
      </c>
      <c r="I81" s="2">
        <f>VLOOKUP(B81,localidades!$H$1:$K$20,4,FALSE)</f>
        <v>4.76320652488001</v>
      </c>
      <c r="J81" s="1">
        <f>VLOOKUP(A81,def_hab!$A$1:$E$210,5,FALSE)</f>
        <v>1.8430806120114801E-2</v>
      </c>
      <c r="K81">
        <f>VLOOKUP(A81,ing_prom!$A$1:$D$229,4,FALSE)</f>
        <v>1541414.1077665</v>
      </c>
    </row>
    <row r="82" spans="1:11" x14ac:dyDescent="0.25">
      <c r="A82" t="str">
        <f t="shared" si="2"/>
        <v>Barrios Unidos2018</v>
      </c>
      <c r="B82" t="s">
        <v>15</v>
      </c>
      <c r="C82">
        <v>2018</v>
      </c>
      <c r="D82" s="1">
        <f>VLOOKUP(B82,share!$A$1:$C$20,3,FALSE)</f>
        <v>7.1993127147766317E-2</v>
      </c>
      <c r="E82" s="1">
        <f>VLOOKUP(C82,shift!$A$1:$C$15,3,FALSE)</f>
        <v>0.70735427249409044</v>
      </c>
      <c r="F82" s="1">
        <f t="shared" si="3"/>
        <v>5.0924646078182798E-2</v>
      </c>
      <c r="G82" s="2">
        <f>VLOOKUP(A82,migr!$A$1:$H$210,8,FALSE)</f>
        <v>0.49001436219724498</v>
      </c>
      <c r="H82" s="2">
        <f>VLOOKUP(B82,localidades!$B$1:$E$20,3,FALSE)</f>
        <v>-74.073551677463399</v>
      </c>
      <c r="I82" s="2">
        <f>VLOOKUP(B82,localidades!$H$1:$K$20,4,FALSE)</f>
        <v>4.6695668454366004</v>
      </c>
      <c r="J82" s="1">
        <f>VLOOKUP(A82,def_hab!$A$1:$E$210,5,FALSE)</f>
        <v>6.6298912019840603E-3</v>
      </c>
      <c r="K82">
        <f>VLOOKUP(A82,ing_prom!$A$1:$D$229,4,FALSE)</f>
        <v>1704267.4712679</v>
      </c>
    </row>
    <row r="83" spans="1:11" x14ac:dyDescent="0.25">
      <c r="A83" t="str">
        <f t="shared" si="2"/>
        <v>Engativá2018</v>
      </c>
      <c r="B83" t="s">
        <v>7</v>
      </c>
      <c r="C83">
        <v>2018</v>
      </c>
      <c r="D83" s="1">
        <f>VLOOKUP(B83,share!$A$1:$C$20,3,FALSE)</f>
        <v>6.0309278350515465E-2</v>
      </c>
      <c r="E83" s="1">
        <f>VLOOKUP(C83,shift!$A$1:$C$15,3,FALSE)</f>
        <v>0.70735427249409044</v>
      </c>
      <c r="F83" s="1">
        <f t="shared" si="3"/>
        <v>4.2660025712272467E-2</v>
      </c>
      <c r="G83" s="2">
        <f>VLOOKUP(A83,migr!$A$1:$H$210,8,FALSE)</f>
        <v>3.6275025056713899</v>
      </c>
      <c r="H83" s="2">
        <f>VLOOKUP(B83,localidades!$B$1:$E$20,3,FALSE)</f>
        <v>-74.113187148077898</v>
      </c>
      <c r="I83" s="2">
        <f>VLOOKUP(B83,localidades!$H$1:$K$20,4,FALSE)</f>
        <v>4.70112526984326</v>
      </c>
      <c r="J83" s="1">
        <f>VLOOKUP(A83,def_hab!$A$1:$E$210,5,FALSE)</f>
        <v>1.45348229595238E-2</v>
      </c>
      <c r="K83">
        <f>VLOOKUP(A83,ing_prom!$A$1:$D$229,4,FALSE)</f>
        <v>1139427.0221138999</v>
      </c>
    </row>
    <row r="84" spans="1:11" x14ac:dyDescent="0.25">
      <c r="A84" t="str">
        <f t="shared" si="2"/>
        <v>Fontibón2018</v>
      </c>
      <c r="B84" t="s">
        <v>13</v>
      </c>
      <c r="C84">
        <v>2018</v>
      </c>
      <c r="D84" s="1">
        <f>VLOOKUP(B84,share!$A$1:$C$20,3,FALSE)</f>
        <v>5.0171821305841927E-2</v>
      </c>
      <c r="E84" s="1">
        <f>VLOOKUP(C84,shift!$A$1:$C$15,3,FALSE)</f>
        <v>0.70735427249409044</v>
      </c>
      <c r="F84" s="1">
        <f t="shared" si="3"/>
        <v>3.5489252159497324E-2</v>
      </c>
      <c r="G84" s="2">
        <f>VLOOKUP(A84,migr!$A$1:$H$210,8,FALSE)</f>
        <v>1.5951713239957099</v>
      </c>
      <c r="H84" s="2">
        <f>VLOOKUP(B84,localidades!$B$1:$E$20,3,FALSE)</f>
        <v>-74.140150765275294</v>
      </c>
      <c r="I84" s="2">
        <f>VLOOKUP(B84,localidades!$H$1:$K$20,4,FALSE)</f>
        <v>4.6781827131162403</v>
      </c>
      <c r="J84" s="1">
        <f>VLOOKUP(A84,def_hab!$A$1:$E$210,5,FALSE)</f>
        <v>1.4504112179719E-2</v>
      </c>
      <c r="K84">
        <f>VLOOKUP(A84,ing_prom!$A$1:$D$229,4,FALSE)</f>
        <v>1441289.2049108001</v>
      </c>
    </row>
    <row r="85" spans="1:11" x14ac:dyDescent="0.25">
      <c r="A85" t="str">
        <f t="shared" si="2"/>
        <v>Kennedy2018</v>
      </c>
      <c r="B85" t="s">
        <v>5</v>
      </c>
      <c r="C85">
        <v>2018</v>
      </c>
      <c r="D85" s="1">
        <f>VLOOKUP(B85,share!$A$1:$C$20,3,FALSE)</f>
        <v>4.6907216494845361E-2</v>
      </c>
      <c r="E85" s="1">
        <f>VLOOKUP(C85,shift!$A$1:$C$15,3,FALSE)</f>
        <v>0.70735427249409044</v>
      </c>
      <c r="F85" s="1">
        <f t="shared" si="3"/>
        <v>3.3180019998434139E-2</v>
      </c>
      <c r="G85" s="2">
        <f>VLOOKUP(A85,migr!$A$1:$H$210,8,FALSE)</f>
        <v>5.5483201170002499</v>
      </c>
      <c r="H85" s="2">
        <f>VLOOKUP(B85,localidades!$B$1:$E$20,3,FALSE)</f>
        <v>-74.152667580564398</v>
      </c>
      <c r="I85" s="2">
        <f>VLOOKUP(B85,localidades!$H$1:$K$20,4,FALSE)</f>
        <v>4.6303471220515098</v>
      </c>
      <c r="J85" s="1">
        <f>VLOOKUP(A85,def_hab!$A$1:$E$210,5,FALSE)</f>
        <v>2.3776718154383598E-2</v>
      </c>
      <c r="K85">
        <f>VLOOKUP(A85,ing_prom!$A$1:$D$229,4,FALSE)</f>
        <v>937688.78217478003</v>
      </c>
    </row>
    <row r="86" spans="1:11" x14ac:dyDescent="0.25">
      <c r="A86" t="str">
        <f t="shared" si="2"/>
        <v>Antonio Nariño2018</v>
      </c>
      <c r="B86" t="s">
        <v>19</v>
      </c>
      <c r="C86">
        <v>2018</v>
      </c>
      <c r="D86" s="1">
        <f>VLOOKUP(B86,share!$A$1:$C$20,3,FALSE)</f>
        <v>2.7663230240549827E-2</v>
      </c>
      <c r="E86" s="1">
        <f>VLOOKUP(C86,shift!$A$1:$C$15,3,FALSE)</f>
        <v>0.70735427249409044</v>
      </c>
      <c r="F86" s="1">
        <f t="shared" si="3"/>
        <v>1.9567704101640646E-2</v>
      </c>
      <c r="G86" s="2">
        <f>VLOOKUP(A86,migr!$A$1:$H$210,8,FALSE)</f>
        <v>0.47570956506326301</v>
      </c>
      <c r="H86" s="2">
        <f>VLOOKUP(B86,localidades!$B$1:$E$20,3,FALSE)</f>
        <v>-74.102842336786907</v>
      </c>
      <c r="I86" s="2">
        <f>VLOOKUP(B86,localidades!$H$1:$K$20,4,FALSE)</f>
        <v>4.5887707178273196</v>
      </c>
      <c r="J86" s="1">
        <f>VLOOKUP(A86,def_hab!$A$1:$E$210,5,FALSE)</f>
        <v>1.2098211994941301E-2</v>
      </c>
      <c r="K86">
        <f>VLOOKUP(A86,ing_prom!$A$1:$D$229,4,FALSE)</f>
        <v>931186.32311372994</v>
      </c>
    </row>
    <row r="87" spans="1:11" x14ac:dyDescent="0.25">
      <c r="A87" t="str">
        <f t="shared" si="2"/>
        <v>La Candelaria2018</v>
      </c>
      <c r="B87" t="s">
        <v>22</v>
      </c>
      <c r="C87">
        <v>2018</v>
      </c>
      <c r="D87" s="1">
        <f>VLOOKUP(B87,share!$A$1:$C$20,3,FALSE)</f>
        <v>8.4192439862542951E-3</v>
      </c>
      <c r="E87" s="1">
        <f>VLOOKUP(C87,shift!$A$1:$C$15,3,FALSE)</f>
        <v>0.70735427249409044</v>
      </c>
      <c r="F87" s="1">
        <f t="shared" si="3"/>
        <v>5.955388204847153E-3</v>
      </c>
      <c r="G87" s="2">
        <f>VLOOKUP(A87,migr!$A$1:$H$210,8,FALSE)</f>
        <v>0.13843900138937401</v>
      </c>
      <c r="H87" s="2">
        <f>VLOOKUP(B87,localidades!$B$1:$E$20,3,FALSE)</f>
        <v>-74.072070819324594</v>
      </c>
      <c r="I87" s="2">
        <f>VLOOKUP(B87,localidades!$H$1:$K$20,4,FALSE)</f>
        <v>4.59660507502144</v>
      </c>
      <c r="J87" s="1">
        <f>VLOOKUP(A87,def_hab!$A$1:$E$210,5,FALSE)</f>
        <v>1.6949400703536301E-3</v>
      </c>
      <c r="K87">
        <f>VLOOKUP(A87,ing_prom!$A$1:$D$229,4,FALSE)</f>
        <v>1378874.7108825999</v>
      </c>
    </row>
    <row r="88" spans="1:11" x14ac:dyDescent="0.25">
      <c r="A88" t="str">
        <f t="shared" si="2"/>
        <v>Santa Fe2018</v>
      </c>
      <c r="B88" t="s">
        <v>20</v>
      </c>
      <c r="C88">
        <v>2018</v>
      </c>
      <c r="D88" s="1">
        <f>VLOOKUP(B88,share!$A$1:$C$20,3,FALSE)</f>
        <v>1.5979381443298968E-2</v>
      </c>
      <c r="E88" s="1">
        <f>VLOOKUP(C88,shift!$A$1:$C$15,3,FALSE)</f>
        <v>0.70735427249409044</v>
      </c>
      <c r="F88" s="1">
        <f t="shared" si="3"/>
        <v>1.130308373573031E-2</v>
      </c>
      <c r="G88" s="2">
        <f>VLOOKUP(A88,migr!$A$1:$H$210,8,FALSE)</f>
        <v>0.71473228189952898</v>
      </c>
      <c r="H88" s="2">
        <f>VLOOKUP(B88,localidades!$B$1:$E$20,3,FALSE)</f>
        <v>-74.0362173927127</v>
      </c>
      <c r="I88" s="2">
        <f>VLOOKUP(B88,localidades!$H$1:$K$20,4,FALSE)</f>
        <v>4.5939727566360302</v>
      </c>
      <c r="J88" s="1">
        <f>VLOOKUP(A88,def_hab!$A$1:$E$210,5,FALSE)</f>
        <v>4.2070213239042302E-2</v>
      </c>
      <c r="K88">
        <f>VLOOKUP(A88,ing_prom!$A$1:$D$229,4,FALSE)</f>
        <v>1074501.4942836</v>
      </c>
    </row>
    <row r="89" spans="1:11" x14ac:dyDescent="0.25">
      <c r="A89" t="str">
        <f t="shared" si="2"/>
        <v>Puente Aranda2018</v>
      </c>
      <c r="B89" t="s">
        <v>14</v>
      </c>
      <c r="C89">
        <v>2018</v>
      </c>
      <c r="D89" s="1">
        <f>VLOOKUP(B89,share!$A$1:$C$20,3,FALSE)</f>
        <v>3.1786941580756012E-2</v>
      </c>
      <c r="E89" s="1">
        <f>VLOOKUP(C89,shift!$A$1:$C$15,3,FALSE)</f>
        <v>0.70735427249409044</v>
      </c>
      <c r="F89" s="1">
        <f t="shared" si="3"/>
        <v>2.2484628936667823E-2</v>
      </c>
      <c r="G89" s="2">
        <f>VLOOKUP(A89,migr!$A$1:$H$210,8,FALSE)</f>
        <v>0.55984697338298794</v>
      </c>
      <c r="H89" s="2">
        <f>VLOOKUP(B89,localidades!$B$1:$E$20,3,FALSE)</f>
        <v>-74.111580402476093</v>
      </c>
      <c r="I89" s="2">
        <f>VLOOKUP(B89,localidades!$H$1:$K$20,4,FALSE)</f>
        <v>4.6162453592553296</v>
      </c>
      <c r="J89" s="1">
        <f>VLOOKUP(A89,def_hab!$A$1:$E$210,5,FALSE)</f>
        <v>1.17656407543523E-2</v>
      </c>
      <c r="K89">
        <f>VLOOKUP(A89,ing_prom!$A$1:$D$229,4,FALSE)</f>
        <v>903925.96142066002</v>
      </c>
    </row>
    <row r="90" spans="1:11" x14ac:dyDescent="0.25">
      <c r="A90" t="str">
        <f t="shared" si="2"/>
        <v>Los Mártires2018</v>
      </c>
      <c r="B90" t="s">
        <v>21</v>
      </c>
      <c r="C90">
        <v>2018</v>
      </c>
      <c r="D90" s="1">
        <f>VLOOKUP(B90,share!$A$1:$C$20,3,FALSE)</f>
        <v>1.5120274914089347E-2</v>
      </c>
      <c r="E90" s="1">
        <f>VLOOKUP(C90,shift!$A$1:$C$15,3,FALSE)</f>
        <v>0.70735427249409044</v>
      </c>
      <c r="F90" s="1">
        <f t="shared" si="3"/>
        <v>1.0695391061766316E-2</v>
      </c>
      <c r="G90" s="2">
        <f>VLOOKUP(A90,migr!$A$1:$H$210,8,FALSE)</f>
        <v>1.3964661766419999</v>
      </c>
      <c r="H90" s="2">
        <f>VLOOKUP(B90,localidades!$B$1:$E$20,3,FALSE)</f>
        <v>-74.087947983810096</v>
      </c>
      <c r="I90" s="2">
        <f>VLOOKUP(B90,localidades!$H$1:$K$20,4,FALSE)</f>
        <v>4.6071559155114903</v>
      </c>
      <c r="J90" s="1">
        <f>VLOOKUP(A90,def_hab!$A$1:$E$210,5,FALSE)</f>
        <v>1.9259540640282499E-2</v>
      </c>
      <c r="K90">
        <f>VLOOKUP(A90,ing_prom!$A$1:$D$229,4,FALSE)</f>
        <v>1026196.77281669</v>
      </c>
    </row>
    <row r="91" spans="1:11" x14ac:dyDescent="0.25">
      <c r="A91" t="str">
        <f t="shared" si="2"/>
        <v>Tunjuelito2018</v>
      </c>
      <c r="B91" t="s">
        <v>16</v>
      </c>
      <c r="C91">
        <v>2018</v>
      </c>
      <c r="D91" s="1">
        <f>VLOOKUP(B91,share!$A$1:$C$20,3,FALSE)</f>
        <v>7.5601374570446736E-3</v>
      </c>
      <c r="E91" s="1">
        <f>VLOOKUP(C91,shift!$A$1:$C$15,3,FALSE)</f>
        <v>0.70735427249409044</v>
      </c>
      <c r="F91" s="1">
        <f t="shared" si="3"/>
        <v>5.3476955308831581E-3</v>
      </c>
      <c r="G91" s="2">
        <f>VLOOKUP(A91,migr!$A$1:$H$210,8,FALSE)</f>
        <v>1.03211289823645</v>
      </c>
      <c r="H91" s="2">
        <f>VLOOKUP(B91,localidades!$B$1:$E$20,3,FALSE)</f>
        <v>-74.135989244733693</v>
      </c>
      <c r="I91" s="2">
        <f>VLOOKUP(B91,localidades!$H$1:$K$20,4,FALSE)</f>
        <v>4.5748411850953001</v>
      </c>
      <c r="J91" s="1">
        <f>VLOOKUP(A91,def_hab!$A$1:$E$210,5,FALSE)</f>
        <v>3.49498895656827E-2</v>
      </c>
      <c r="K91">
        <f>VLOOKUP(A91,ing_prom!$A$1:$D$229,4,FALSE)</f>
        <v>813893.75246333005</v>
      </c>
    </row>
    <row r="92" spans="1:11" x14ac:dyDescent="0.25">
      <c r="A92" t="str">
        <f t="shared" si="2"/>
        <v>San Cristóbal2018</v>
      </c>
      <c r="B92" t="s">
        <v>11</v>
      </c>
      <c r="C92">
        <v>2018</v>
      </c>
      <c r="D92" s="1">
        <f>VLOOKUP(B92,share!$A$1:$C$20,3,FALSE)</f>
        <v>2.2508591065292096E-2</v>
      </c>
      <c r="E92" s="1">
        <f>VLOOKUP(C92,shift!$A$1:$C$15,3,FALSE)</f>
        <v>0.70735427249409044</v>
      </c>
      <c r="F92" s="1">
        <f t="shared" si="3"/>
        <v>1.5921548057856675E-2</v>
      </c>
      <c r="G92" s="2">
        <f>VLOOKUP(A92,migr!$A$1:$H$210,8,FALSE)</f>
        <v>0.96434942269950896</v>
      </c>
      <c r="H92" s="2">
        <f>VLOOKUP(B92,localidades!$B$1:$E$20,3,FALSE)</f>
        <v>-74.066072400776207</v>
      </c>
      <c r="I92" s="2">
        <f>VLOOKUP(B92,localidades!$H$1:$K$20,4,FALSE)</f>
        <v>4.5487488041769897</v>
      </c>
      <c r="J92" s="1">
        <f>VLOOKUP(A92,def_hab!$A$1:$E$210,5,FALSE)</f>
        <v>4.0806343827952E-2</v>
      </c>
      <c r="K92">
        <f>VLOOKUP(A92,ing_prom!$A$1:$D$229,4,FALSE)</f>
        <v>734790.21383748995</v>
      </c>
    </row>
    <row r="93" spans="1:11" x14ac:dyDescent="0.25">
      <c r="A93" t="str">
        <f t="shared" si="2"/>
        <v>Rafael Uribe2018</v>
      </c>
      <c r="B93" t="s">
        <v>29</v>
      </c>
      <c r="C93">
        <v>2018</v>
      </c>
      <c r="D93" s="1">
        <f>VLOOKUP(B93,share!$A$1:$C$20,3,FALSE)</f>
        <v>1.9243986254295534E-2</v>
      </c>
      <c r="E93" s="1">
        <f>VLOOKUP(C93,shift!$A$1:$C$15,3,FALSE)</f>
        <v>0.70735427249409044</v>
      </c>
      <c r="F93" s="1">
        <f t="shared" si="3"/>
        <v>1.3612315896793493E-2</v>
      </c>
      <c r="G93" s="2">
        <f>VLOOKUP(A93,migr!$A$1:$H$210,8,FALSE)</f>
        <v>2.1634427543563599</v>
      </c>
      <c r="H93" s="2">
        <f>VLOOKUP(B93,localidades!$B$1:$E$20,3,FALSE)</f>
        <v>-74.113363102222095</v>
      </c>
      <c r="I93" s="2">
        <f>VLOOKUP(B93,localidades!$H$1:$K$20,4,FALSE)</f>
        <v>4.5664766672516102</v>
      </c>
      <c r="J93" s="1">
        <f>VLOOKUP(A93,def_hab!$A$1:$E$210,5,FALSE)</f>
        <v>3.6302469571774298E-2</v>
      </c>
      <c r="K93">
        <f>VLOOKUP(A93,ing_prom!$A$1:$D$229,4,FALSE)</f>
        <v>785010.04265240999</v>
      </c>
    </row>
    <row r="94" spans="1:11" x14ac:dyDescent="0.25">
      <c r="A94" t="str">
        <f t="shared" si="2"/>
        <v>Ciudad Bolívar2018</v>
      </c>
      <c r="B94" t="s">
        <v>8</v>
      </c>
      <c r="C94">
        <v>2018</v>
      </c>
      <c r="D94" s="1">
        <f>VLOOKUP(B94,share!$A$1:$C$20,3,FALSE)</f>
        <v>6.7010309278350512E-3</v>
      </c>
      <c r="E94" s="1">
        <f>VLOOKUP(C94,shift!$A$1:$C$15,3,FALSE)</f>
        <v>0.70735427249409044</v>
      </c>
      <c r="F94" s="1">
        <f t="shared" si="3"/>
        <v>4.7400028569191625E-3</v>
      </c>
      <c r="G94" s="2">
        <f>VLOOKUP(A94,migr!$A$1:$H$210,8,FALSE)</f>
        <v>3.58383513767805</v>
      </c>
      <c r="H94" s="2">
        <f>VLOOKUP(B94,localidades!$B$1:$E$20,3,FALSE)</f>
        <v>-74.161960022510598</v>
      </c>
      <c r="I94" s="2">
        <f>VLOOKUP(B94,localidades!$H$1:$K$20,4,FALSE)</f>
        <v>4.48245576116999</v>
      </c>
      <c r="J94" s="1">
        <f>VLOOKUP(A94,def_hab!$A$1:$E$210,5,FALSE)</f>
        <v>5.4742686051686897E-2</v>
      </c>
      <c r="K94" t="e">
        <f>VLOOKUP(A94,ing_prom!$A$1:$D$229,4,FALSE)</f>
        <v>#N/A</v>
      </c>
    </row>
    <row r="95" spans="1:11" x14ac:dyDescent="0.25">
      <c r="A95" t="str">
        <f t="shared" si="2"/>
        <v>Usme2018</v>
      </c>
      <c r="B95" t="s">
        <v>12</v>
      </c>
      <c r="C95">
        <v>2018</v>
      </c>
      <c r="D95" s="1">
        <f>VLOOKUP(B95,share!$A$1:$C$20,3,FALSE)</f>
        <v>7.2164948453608251E-3</v>
      </c>
      <c r="E95" s="1">
        <f>VLOOKUP(C95,shift!$A$1:$C$15,3,FALSE)</f>
        <v>0.70735427249409044</v>
      </c>
      <c r="F95" s="1">
        <f t="shared" si="3"/>
        <v>5.10461846129756E-3</v>
      </c>
      <c r="G95" s="2">
        <f>VLOOKUP(A95,migr!$A$1:$H$210,8,FALSE)</f>
        <v>2.04231163254798</v>
      </c>
      <c r="H95" s="2">
        <f>VLOOKUP(B95,localidades!$B$1:$E$20,3,FALSE)</f>
        <v>-74.142812024697704</v>
      </c>
      <c r="I95" s="2">
        <f>VLOOKUP(B95,localidades!$H$1:$K$20,4,FALSE)</f>
        <v>4.3900190318873902</v>
      </c>
      <c r="J95" s="1">
        <f>VLOOKUP(A95,def_hab!$A$1:$E$210,5,FALSE)</f>
        <v>5.3725499441713898E-2</v>
      </c>
      <c r="K95">
        <f>VLOOKUP(A95,ing_prom!$A$1:$D$229,4,FALSE)</f>
        <v>667683.42243723001</v>
      </c>
    </row>
    <row r="96" spans="1:11" x14ac:dyDescent="0.25">
      <c r="A96" t="str">
        <f t="shared" si="2"/>
        <v>Bosa2018</v>
      </c>
      <c r="B96" t="s">
        <v>9</v>
      </c>
      <c r="C96">
        <v>2018</v>
      </c>
      <c r="D96" s="1">
        <f>VLOOKUP(B96,share!$A$1:$C$20,3,FALSE)</f>
        <v>2.5945017182130586E-2</v>
      </c>
      <c r="E96" s="1">
        <f>VLOOKUP(C96,shift!$A$1:$C$15,3,FALSE)</f>
        <v>0.70735427249409044</v>
      </c>
      <c r="F96" s="1">
        <f t="shared" si="3"/>
        <v>1.8352318753712658E-2</v>
      </c>
      <c r="G96" s="2">
        <f>VLOOKUP(A96,migr!$A$1:$H$210,8,FALSE)</f>
        <v>3.51986730595404</v>
      </c>
      <c r="H96" s="2">
        <f>VLOOKUP(B96,localidades!$B$1:$E$20,3,FALSE)</f>
        <v>-74.194388716263504</v>
      </c>
      <c r="I96" s="2">
        <f>VLOOKUP(B96,localidades!$H$1:$K$20,4,FALSE)</f>
        <v>4.6217797878632698</v>
      </c>
      <c r="J96" s="1">
        <f>VLOOKUP(A96,def_hab!$A$1:$E$210,5,FALSE)</f>
        <v>3.9267409307735701E-2</v>
      </c>
      <c r="K96">
        <f>VLOOKUP(A96,ing_prom!$A$1:$D$229,4,FALSE)</f>
        <v>701170.56619828998</v>
      </c>
    </row>
    <row r="97" spans="1:11" x14ac:dyDescent="0.25">
      <c r="A97" t="str">
        <f t="shared" si="2"/>
        <v>Chapinero2019</v>
      </c>
      <c r="B97" t="s">
        <v>18</v>
      </c>
      <c r="C97">
        <v>2019</v>
      </c>
      <c r="D97" s="1">
        <f>VLOOKUP(B97,share!$A$1:$C$20,3,FALSE)</f>
        <v>0.17577319587628865</v>
      </c>
      <c r="E97" s="1">
        <f>VLOOKUP(C97,shift!$A$1:$C$15,3,FALSE)</f>
        <v>-0.19523703266752246</v>
      </c>
      <c r="F97" s="1">
        <f t="shared" si="3"/>
        <v>-3.4317437185373792E-2</v>
      </c>
      <c r="G97" s="2">
        <f>VLOOKUP(A97,migr!$A$1:$H$210,8,FALSE)</f>
        <v>0.54929121085082599</v>
      </c>
      <c r="H97" s="2">
        <f>VLOOKUP(B97,localidades!$B$1:$E$20,3,FALSE)</f>
        <v>-74.036938848703201</v>
      </c>
      <c r="I97" s="2">
        <f>VLOOKUP(B97,localidades!$H$1:$K$20,4,FALSE)</f>
        <v>4.64492441542754</v>
      </c>
      <c r="J97" s="1">
        <f>VLOOKUP(A97,def_hab!$A$1:$E$210,5,FALSE)</f>
        <v>3.7103581863586399E-3</v>
      </c>
      <c r="K97">
        <f>VLOOKUP(A97,ing_prom!$A$1:$D$229,4,FALSE)</f>
        <v>2966878.6305871801</v>
      </c>
    </row>
    <row r="98" spans="1:11" x14ac:dyDescent="0.25">
      <c r="A98" t="str">
        <f t="shared" si="2"/>
        <v>Teusaquillo2019</v>
      </c>
      <c r="B98" t="s">
        <v>17</v>
      </c>
      <c r="C98">
        <v>2019</v>
      </c>
      <c r="D98" s="1">
        <f>VLOOKUP(B98,share!$A$1:$C$20,3,FALSE)</f>
        <v>0.15068728522336769</v>
      </c>
      <c r="E98" s="1">
        <f>VLOOKUP(C98,shift!$A$1:$C$15,3,FALSE)</f>
        <v>-0.19523703266752246</v>
      </c>
      <c r="F98" s="1">
        <f t="shared" si="3"/>
        <v>-2.9419738427734911E-2</v>
      </c>
      <c r="G98" s="2">
        <f>VLOOKUP(A98,migr!$A$1:$H$210,8,FALSE)</f>
        <v>0.300076798943895</v>
      </c>
      <c r="H98" s="2">
        <f>VLOOKUP(B98,localidades!$B$1:$E$20,3,FALSE)</f>
        <v>-74.085768890680001</v>
      </c>
      <c r="I98" s="2">
        <f>VLOOKUP(B98,localidades!$H$1:$K$20,4,FALSE)</f>
        <v>4.6411735516069603</v>
      </c>
      <c r="J98" s="1">
        <f>VLOOKUP(A98,def_hab!$A$1:$E$210,5,FALSE)</f>
        <v>2.6681691598685702E-4</v>
      </c>
      <c r="K98">
        <f>VLOOKUP(A98,ing_prom!$A$1:$D$229,4,FALSE)</f>
        <v>3029457.9473092798</v>
      </c>
    </row>
    <row r="99" spans="1:11" x14ac:dyDescent="0.25">
      <c r="A99" t="str">
        <f t="shared" si="2"/>
        <v>Usaquén2019</v>
      </c>
      <c r="B99" t="s">
        <v>10</v>
      </c>
      <c r="C99">
        <v>2019</v>
      </c>
      <c r="D99" s="1">
        <f>VLOOKUP(B99,share!$A$1:$C$20,3,FALSE)</f>
        <v>0.14725085910652921</v>
      </c>
      <c r="E99" s="1">
        <f>VLOOKUP(C99,shift!$A$1:$C$15,3,FALSE)</f>
        <v>-0.19523703266752246</v>
      </c>
      <c r="F99" s="1">
        <f t="shared" si="3"/>
        <v>-2.874882078970219E-2</v>
      </c>
      <c r="G99" s="2">
        <f>VLOOKUP(A99,migr!$A$1:$H$210,8,FALSE)</f>
        <v>2.6394327457570199</v>
      </c>
      <c r="H99" s="2">
        <f>VLOOKUP(B99,localidades!$B$1:$E$20,3,FALSE)</f>
        <v>-74.027882368779103</v>
      </c>
      <c r="I99" s="2">
        <f>VLOOKUP(B99,localidades!$H$1:$K$20,4,FALSE)</f>
        <v>4.7419260292461196</v>
      </c>
      <c r="J99" s="1">
        <f>VLOOKUP(A99,def_hab!$A$1:$E$210,5,FALSE)</f>
        <v>8.4734478892054994E-3</v>
      </c>
      <c r="K99">
        <f>VLOOKUP(A99,ing_prom!$A$1:$D$229,4,FALSE)</f>
        <v>2116939.6866957401</v>
      </c>
    </row>
    <row r="100" spans="1:11" x14ac:dyDescent="0.25">
      <c r="A100" t="str">
        <f t="shared" si="2"/>
        <v>Suba2019</v>
      </c>
      <c r="B100" t="s">
        <v>6</v>
      </c>
      <c r="C100">
        <v>2019</v>
      </c>
      <c r="D100" s="1">
        <f>VLOOKUP(B100,share!$A$1:$C$20,3,FALSE)</f>
        <v>0.10876288659793815</v>
      </c>
      <c r="E100" s="1">
        <f>VLOOKUP(C100,shift!$A$1:$C$15,3,FALSE)</f>
        <v>-0.19523703266752246</v>
      </c>
      <c r="F100" s="1">
        <f t="shared" si="3"/>
        <v>-2.1234543243735689E-2</v>
      </c>
      <c r="G100" s="2">
        <f>VLOOKUP(A100,migr!$A$1:$H$210,8,FALSE)</f>
        <v>5.0813113411346196</v>
      </c>
      <c r="H100" s="2">
        <f>VLOOKUP(B100,localidades!$B$1:$E$20,3,FALSE)</f>
        <v>-74.075845800487997</v>
      </c>
      <c r="I100" s="2">
        <f>VLOOKUP(B100,localidades!$H$1:$K$20,4,FALSE)</f>
        <v>4.76320652488001</v>
      </c>
      <c r="J100" s="1">
        <f>VLOOKUP(A100,def_hab!$A$1:$E$210,5,FALSE)</f>
        <v>1.7608220510144899E-2</v>
      </c>
      <c r="K100">
        <f>VLOOKUP(A100,ing_prom!$A$1:$D$229,4,FALSE)</f>
        <v>1600604.40950473</v>
      </c>
    </row>
    <row r="101" spans="1:11" x14ac:dyDescent="0.25">
      <c r="A101" t="str">
        <f t="shared" si="2"/>
        <v>Barrios Unidos2019</v>
      </c>
      <c r="B101" t="s">
        <v>15</v>
      </c>
      <c r="C101">
        <v>2019</v>
      </c>
      <c r="D101" s="1">
        <f>VLOOKUP(B101,share!$A$1:$C$20,3,FALSE)</f>
        <v>7.1993127147766317E-2</v>
      </c>
      <c r="E101" s="1">
        <f>VLOOKUP(C101,shift!$A$1:$C$15,3,FALSE)</f>
        <v>-0.19523703266752246</v>
      </c>
      <c r="F101" s="1">
        <f t="shared" si="3"/>
        <v>-1.405572451678555E-2</v>
      </c>
      <c r="G101" s="2">
        <f>VLOOKUP(A101,migr!$A$1:$H$210,8,FALSE)</f>
        <v>0.38692768305409703</v>
      </c>
      <c r="H101" s="2">
        <f>VLOOKUP(B101,localidades!$B$1:$E$20,3,FALSE)</f>
        <v>-74.073551677463399</v>
      </c>
      <c r="I101" s="2">
        <f>VLOOKUP(B101,localidades!$H$1:$K$20,4,FALSE)</f>
        <v>4.6695668454366004</v>
      </c>
      <c r="J101" s="1">
        <f>VLOOKUP(A101,def_hab!$A$1:$E$210,5,FALSE)</f>
        <v>6.3339924191051899E-3</v>
      </c>
      <c r="K101">
        <f>VLOOKUP(A101,ing_prom!$A$1:$D$229,4,FALSE)</f>
        <v>1769711.34216459</v>
      </c>
    </row>
    <row r="102" spans="1:11" x14ac:dyDescent="0.25">
      <c r="A102" t="str">
        <f t="shared" si="2"/>
        <v>Engativá2019</v>
      </c>
      <c r="B102" t="s">
        <v>7</v>
      </c>
      <c r="C102">
        <v>2019</v>
      </c>
      <c r="D102" s="1">
        <f>VLOOKUP(B102,share!$A$1:$C$20,3,FALSE)</f>
        <v>6.0309278350515465E-2</v>
      </c>
      <c r="E102" s="1">
        <f>VLOOKUP(C102,shift!$A$1:$C$15,3,FALSE)</f>
        <v>-0.19523703266752246</v>
      </c>
      <c r="F102" s="1">
        <f t="shared" si="3"/>
        <v>-1.1774604547474293E-2</v>
      </c>
      <c r="G102" s="2">
        <f>VLOOKUP(A102,migr!$A$1:$H$210,8,FALSE)</f>
        <v>2.8643673493541102</v>
      </c>
      <c r="H102" s="2">
        <f>VLOOKUP(B102,localidades!$B$1:$E$20,3,FALSE)</f>
        <v>-74.113187148077898</v>
      </c>
      <c r="I102" s="2">
        <f>VLOOKUP(B102,localidades!$H$1:$K$20,4,FALSE)</f>
        <v>4.70112526984326</v>
      </c>
      <c r="J102" s="1">
        <f>VLOOKUP(A102,def_hab!$A$1:$E$210,5,FALSE)</f>
        <v>1.38861190378371E-2</v>
      </c>
      <c r="K102">
        <f>VLOOKUP(A102,ing_prom!$A$1:$D$229,4,FALSE)</f>
        <v>1183181.0197630699</v>
      </c>
    </row>
    <row r="103" spans="1:11" x14ac:dyDescent="0.25">
      <c r="A103" t="str">
        <f t="shared" si="2"/>
        <v>Fontibón2019</v>
      </c>
      <c r="B103" t="s">
        <v>13</v>
      </c>
      <c r="C103">
        <v>2019</v>
      </c>
      <c r="D103" s="1">
        <f>VLOOKUP(B103,share!$A$1:$C$20,3,FALSE)</f>
        <v>5.0171821305841927E-2</v>
      </c>
      <c r="E103" s="1">
        <f>VLOOKUP(C103,shift!$A$1:$C$15,3,FALSE)</f>
        <v>-0.19523703266752246</v>
      </c>
      <c r="F103" s="1">
        <f t="shared" si="3"/>
        <v>-9.7953975152777588E-3</v>
      </c>
      <c r="G103" s="2">
        <f>VLOOKUP(A103,migr!$A$1:$H$210,8,FALSE)</f>
        <v>1.25958745719284</v>
      </c>
      <c r="H103" s="2">
        <f>VLOOKUP(B103,localidades!$B$1:$E$20,3,FALSE)</f>
        <v>-74.140150765275294</v>
      </c>
      <c r="I103" s="2">
        <f>VLOOKUP(B103,localidades!$H$1:$K$20,4,FALSE)</f>
        <v>4.6781827131162403</v>
      </c>
      <c r="J103" s="1">
        <f>VLOOKUP(A103,def_hab!$A$1:$E$210,5,FALSE)</f>
        <v>1.3856778911349E-2</v>
      </c>
      <c r="K103">
        <f>VLOOKUP(A103,ing_prom!$A$1:$D$229,4,FALSE)</f>
        <v>1496634.71037937</v>
      </c>
    </row>
    <row r="104" spans="1:11" x14ac:dyDescent="0.25">
      <c r="A104" t="str">
        <f t="shared" si="2"/>
        <v>Kennedy2019</v>
      </c>
      <c r="B104" t="s">
        <v>5</v>
      </c>
      <c r="C104">
        <v>2019</v>
      </c>
      <c r="D104" s="1">
        <f>VLOOKUP(B104,share!$A$1:$C$20,3,FALSE)</f>
        <v>4.6907216494845361E-2</v>
      </c>
      <c r="E104" s="1">
        <f>VLOOKUP(C104,shift!$A$1:$C$15,3,FALSE)</f>
        <v>-0.19523703266752246</v>
      </c>
      <c r="F104" s="1">
        <f t="shared" si="3"/>
        <v>-9.1580257591466728E-3</v>
      </c>
      <c r="G104" s="2">
        <f>VLOOKUP(A104,migr!$A$1:$H$210,8,FALSE)</f>
        <v>4.3810933175244298</v>
      </c>
      <c r="H104" s="2">
        <f>VLOOKUP(B104,localidades!$B$1:$E$20,3,FALSE)</f>
        <v>-74.152667580564398</v>
      </c>
      <c r="I104" s="2">
        <f>VLOOKUP(B104,localidades!$H$1:$K$20,4,FALSE)</f>
        <v>4.6303471220515098</v>
      </c>
      <c r="J104" s="1">
        <f>VLOOKUP(A104,def_hab!$A$1:$E$210,5,FALSE)</f>
        <v>2.2715539056809401E-2</v>
      </c>
      <c r="K104">
        <f>VLOOKUP(A104,ing_prom!$A$1:$D$229,4,FALSE)</f>
        <v>973696.03141029098</v>
      </c>
    </row>
    <row r="105" spans="1:11" x14ac:dyDescent="0.25">
      <c r="A105" t="str">
        <f t="shared" si="2"/>
        <v>Antonio Nariño2019</v>
      </c>
      <c r="B105" t="s">
        <v>19</v>
      </c>
      <c r="C105">
        <v>2019</v>
      </c>
      <c r="D105" s="1">
        <f>VLOOKUP(B105,share!$A$1:$C$20,3,FALSE)</f>
        <v>2.7663230240549827E-2</v>
      </c>
      <c r="E105" s="1">
        <f>VLOOKUP(C105,shift!$A$1:$C$15,3,FALSE)</f>
        <v>-0.19523703266752246</v>
      </c>
      <c r="F105" s="1">
        <f t="shared" si="3"/>
        <v>-5.4008869861634215E-3</v>
      </c>
      <c r="G105" s="2">
        <f>VLOOKUP(A105,migr!$A$1:$H$210,8,FALSE)</f>
        <v>0.37563225492258001</v>
      </c>
      <c r="H105" s="2">
        <f>VLOOKUP(B105,localidades!$B$1:$E$20,3,FALSE)</f>
        <v>-74.102842336786907</v>
      </c>
      <c r="I105" s="2">
        <f>VLOOKUP(B105,localidades!$H$1:$K$20,4,FALSE)</f>
        <v>4.5887707178273196</v>
      </c>
      <c r="J105" s="1">
        <f>VLOOKUP(A105,def_hab!$A$1:$E$210,5,FALSE)</f>
        <v>1.15582564971433E-2</v>
      </c>
      <c r="K105">
        <f>VLOOKUP(A105,ing_prom!$A$1:$D$229,4,FALSE)</f>
        <v>966943.87792129698</v>
      </c>
    </row>
    <row r="106" spans="1:11" x14ac:dyDescent="0.25">
      <c r="A106" t="str">
        <f t="shared" si="2"/>
        <v>La Candelaria2019</v>
      </c>
      <c r="B106" t="s">
        <v>22</v>
      </c>
      <c r="C106">
        <v>2019</v>
      </c>
      <c r="D106" s="1">
        <f>VLOOKUP(B106,share!$A$1:$C$20,3,FALSE)</f>
        <v>8.4192439862542951E-3</v>
      </c>
      <c r="E106" s="1">
        <f>VLOOKUP(C106,shift!$A$1:$C$15,3,FALSE)</f>
        <v>-0.19523703266752246</v>
      </c>
      <c r="F106" s="1">
        <f t="shared" si="3"/>
        <v>-1.6437482131801719E-3</v>
      </c>
      <c r="G106" s="2">
        <f>VLOOKUP(A106,migr!$A$1:$H$210,8,FALSE)</f>
        <v>0.10931492254986599</v>
      </c>
      <c r="H106" s="2">
        <f>VLOOKUP(B106,localidades!$B$1:$E$20,3,FALSE)</f>
        <v>-74.072070819324594</v>
      </c>
      <c r="I106" s="2">
        <f>VLOOKUP(B106,localidades!$H$1:$K$20,4,FALSE)</f>
        <v>4.59660507502144</v>
      </c>
      <c r="J106" s="1">
        <f>VLOOKUP(A106,def_hab!$A$1:$E$210,5,FALSE)</f>
        <v>1.6192931722989301E-3</v>
      </c>
      <c r="K106">
        <f>VLOOKUP(A106,ing_prom!$A$1:$D$229,4,FALSE)</f>
        <v>1431823.4997804901</v>
      </c>
    </row>
    <row r="107" spans="1:11" x14ac:dyDescent="0.25">
      <c r="A107" t="str">
        <f t="shared" si="2"/>
        <v>Santa Fe2019</v>
      </c>
      <c r="B107" t="s">
        <v>20</v>
      </c>
      <c r="C107">
        <v>2019</v>
      </c>
      <c r="D107" s="1">
        <f>VLOOKUP(B107,share!$A$1:$C$20,3,FALSE)</f>
        <v>1.5979381443298968E-2</v>
      </c>
      <c r="E107" s="1">
        <f>VLOOKUP(C107,shift!$A$1:$C$15,3,FALSE)</f>
        <v>-0.19523703266752246</v>
      </c>
      <c r="F107" s="1">
        <f t="shared" si="3"/>
        <v>-3.1197670168521627E-3</v>
      </c>
      <c r="G107" s="2">
        <f>VLOOKUP(A107,migr!$A$1:$H$210,8,FALSE)</f>
        <v>0.56437061272917</v>
      </c>
      <c r="H107" s="2">
        <f>VLOOKUP(B107,localidades!$B$1:$E$20,3,FALSE)</f>
        <v>-74.0362173927127</v>
      </c>
      <c r="I107" s="2">
        <f>VLOOKUP(B107,localidades!$H$1:$K$20,4,FALSE)</f>
        <v>4.5939727566360302</v>
      </c>
      <c r="J107" s="1">
        <f>VLOOKUP(A107,def_hab!$A$1:$E$210,5,FALSE)</f>
        <v>4.0192576862571799E-2</v>
      </c>
      <c r="K107">
        <f>VLOOKUP(A107,ing_prom!$A$1:$D$229,4,FALSE)</f>
        <v>1115762.3516640901</v>
      </c>
    </row>
    <row r="108" spans="1:11" x14ac:dyDescent="0.25">
      <c r="A108" t="str">
        <f t="shared" si="2"/>
        <v>Puente Aranda2019</v>
      </c>
      <c r="B108" t="s">
        <v>14</v>
      </c>
      <c r="C108">
        <v>2019</v>
      </c>
      <c r="D108" s="1">
        <f>VLOOKUP(B108,share!$A$1:$C$20,3,FALSE)</f>
        <v>3.1786941580756012E-2</v>
      </c>
      <c r="E108" s="1">
        <f>VLOOKUP(C108,shift!$A$1:$C$15,3,FALSE)</f>
        <v>-0.19523703266752246</v>
      </c>
      <c r="F108" s="1">
        <f t="shared" si="3"/>
        <v>-6.2059881518026893E-3</v>
      </c>
      <c r="G108" s="2">
        <f>VLOOKUP(A108,migr!$A$1:$H$210,8,FALSE)</f>
        <v>0.44206927181602201</v>
      </c>
      <c r="H108" s="2">
        <f>VLOOKUP(B108,localidades!$B$1:$E$20,3,FALSE)</f>
        <v>-74.111580402476093</v>
      </c>
      <c r="I108" s="2">
        <f>VLOOKUP(B108,localidades!$H$1:$K$20,4,FALSE)</f>
        <v>4.6162453592553296</v>
      </c>
      <c r="J108" s="1">
        <f>VLOOKUP(A108,def_hab!$A$1:$E$210,5,FALSE)</f>
        <v>1.12405282490428E-2</v>
      </c>
      <c r="K108">
        <f>VLOOKUP(A108,ing_prom!$A$1:$D$229,4,FALSE)</f>
        <v>938636.71833921305</v>
      </c>
    </row>
    <row r="109" spans="1:11" x14ac:dyDescent="0.25">
      <c r="A109" t="str">
        <f t="shared" si="2"/>
        <v>Los Mártires2019</v>
      </c>
      <c r="B109" t="s">
        <v>21</v>
      </c>
      <c r="C109">
        <v>2019</v>
      </c>
      <c r="D109" s="1">
        <f>VLOOKUP(B109,share!$A$1:$C$20,3,FALSE)</f>
        <v>1.5120274914089347E-2</v>
      </c>
      <c r="E109" s="1">
        <f>VLOOKUP(C109,shift!$A$1:$C$15,3,FALSE)</f>
        <v>-0.19523703266752246</v>
      </c>
      <c r="F109" s="1">
        <f t="shared" si="3"/>
        <v>-2.9520376073439822E-3</v>
      </c>
      <c r="G109" s="2">
        <f>VLOOKUP(A109,migr!$A$1:$H$210,8,FALSE)</f>
        <v>1.1026848677835299</v>
      </c>
      <c r="H109" s="2">
        <f>VLOOKUP(B109,localidades!$B$1:$E$20,3,FALSE)</f>
        <v>-74.087947983810096</v>
      </c>
      <c r="I109" s="2">
        <f>VLOOKUP(B109,localidades!$H$1:$K$20,4,FALSE)</f>
        <v>4.6071559155114903</v>
      </c>
      <c r="J109" s="1">
        <f>VLOOKUP(A109,def_hab!$A$1:$E$210,5,FALSE)</f>
        <v>1.8399967766362501E-2</v>
      </c>
      <c r="K109">
        <f>VLOOKUP(A109,ing_prom!$A$1:$D$229,4,FALSE)</f>
        <v>1065602.72889285</v>
      </c>
    </row>
    <row r="110" spans="1:11" x14ac:dyDescent="0.25">
      <c r="A110" t="str">
        <f t="shared" si="2"/>
        <v>Tunjuelito2019</v>
      </c>
      <c r="B110" t="s">
        <v>16</v>
      </c>
      <c r="C110">
        <v>2019</v>
      </c>
      <c r="D110" s="1">
        <f>VLOOKUP(B110,share!$A$1:$C$20,3,FALSE)</f>
        <v>7.5601374570446736E-3</v>
      </c>
      <c r="E110" s="1">
        <f>VLOOKUP(C110,shift!$A$1:$C$15,3,FALSE)</f>
        <v>-0.19523703266752246</v>
      </c>
      <c r="F110" s="1">
        <f t="shared" si="3"/>
        <v>-1.4760188036719911E-3</v>
      </c>
      <c r="G110" s="2">
        <f>VLOOKUP(A110,migr!$A$1:$H$210,8,FALSE)</f>
        <v>0.81498234168925898</v>
      </c>
      <c r="H110" s="2">
        <f>VLOOKUP(B110,localidades!$B$1:$E$20,3,FALSE)</f>
        <v>-74.135989244733693</v>
      </c>
      <c r="I110" s="2">
        <f>VLOOKUP(B110,localidades!$H$1:$K$20,4,FALSE)</f>
        <v>4.5748411850953001</v>
      </c>
      <c r="J110" s="1">
        <f>VLOOKUP(A110,def_hab!$A$1:$E$210,5,FALSE)</f>
        <v>3.3390040471757601E-2</v>
      </c>
      <c r="K110">
        <f>VLOOKUP(A110,ing_prom!$A$1:$D$229,4,FALSE)</f>
        <v>845147.27255792206</v>
      </c>
    </row>
    <row r="111" spans="1:11" x14ac:dyDescent="0.25">
      <c r="A111" t="str">
        <f t="shared" si="2"/>
        <v>San Cristóbal2019</v>
      </c>
      <c r="B111" t="s">
        <v>11</v>
      </c>
      <c r="C111">
        <v>2019</v>
      </c>
      <c r="D111" s="1">
        <f>VLOOKUP(B111,share!$A$1:$C$20,3,FALSE)</f>
        <v>2.2508591065292096E-2</v>
      </c>
      <c r="E111" s="1">
        <f>VLOOKUP(C111,shift!$A$1:$C$15,3,FALSE)</f>
        <v>-0.19523703266752246</v>
      </c>
      <c r="F111" s="1">
        <f t="shared" si="3"/>
        <v>-4.3945105291143373E-3</v>
      </c>
      <c r="G111" s="2">
        <f>VLOOKUP(A111,migr!$A$1:$H$210,8,FALSE)</f>
        <v>0.76147459455378297</v>
      </c>
      <c r="H111" s="2">
        <f>VLOOKUP(B111,localidades!$B$1:$E$20,3,FALSE)</f>
        <v>-74.066072400776207</v>
      </c>
      <c r="I111" s="2">
        <f>VLOOKUP(B111,localidades!$H$1:$K$20,4,FALSE)</f>
        <v>4.5487488041769897</v>
      </c>
      <c r="J111" s="1">
        <f>VLOOKUP(A111,def_hab!$A$1:$E$210,5,FALSE)</f>
        <v>3.8985115227878703E-2</v>
      </c>
      <c r="K111">
        <f>VLOOKUP(A111,ing_prom!$A$1:$D$229,4,FALSE)</f>
        <v>763006.15804885002</v>
      </c>
    </row>
    <row r="112" spans="1:11" x14ac:dyDescent="0.25">
      <c r="A112" t="str">
        <f t="shared" si="2"/>
        <v>Rafael Uribe2019</v>
      </c>
      <c r="B112" t="s">
        <v>29</v>
      </c>
      <c r="C112">
        <v>2019</v>
      </c>
      <c r="D112" s="1">
        <f>VLOOKUP(B112,share!$A$1:$C$20,3,FALSE)</f>
        <v>1.9243986254295534E-2</v>
      </c>
      <c r="E112" s="1">
        <f>VLOOKUP(C112,shift!$A$1:$C$15,3,FALSE)</f>
        <v>-0.19523703266752246</v>
      </c>
      <c r="F112" s="1">
        <f t="shared" si="3"/>
        <v>-3.7571387729832505E-3</v>
      </c>
      <c r="G112" s="2">
        <f>VLOOKUP(A112,migr!$A$1:$H$210,8,FALSE)</f>
        <v>1.70830889243676</v>
      </c>
      <c r="H112" s="2">
        <f>VLOOKUP(B112,localidades!$B$1:$E$20,3,FALSE)</f>
        <v>-74.113363102222095</v>
      </c>
      <c r="I112" s="2">
        <f>VLOOKUP(B112,localidades!$H$1:$K$20,4,FALSE)</f>
        <v>4.5664766672516102</v>
      </c>
      <c r="J112" s="1">
        <f>VLOOKUP(A112,def_hab!$A$1:$E$210,5,FALSE)</f>
        <v>3.4682253457432803E-2</v>
      </c>
      <c r="K112">
        <f>VLOOKUP(A112,ing_prom!$A$1:$D$229,4,FALSE)</f>
        <v>815154.428290262</v>
      </c>
    </row>
    <row r="113" spans="1:11" x14ac:dyDescent="0.25">
      <c r="A113" t="str">
        <f t="shared" si="2"/>
        <v>Ciudad Bolívar2019</v>
      </c>
      <c r="B113" t="s">
        <v>8</v>
      </c>
      <c r="C113">
        <v>2019</v>
      </c>
      <c r="D113" s="1">
        <f>VLOOKUP(B113,share!$A$1:$C$20,3,FALSE)</f>
        <v>6.7010309278350512E-3</v>
      </c>
      <c r="E113" s="1">
        <f>VLOOKUP(C113,shift!$A$1:$C$15,3,FALSE)</f>
        <v>-0.19523703266752246</v>
      </c>
      <c r="F113" s="1">
        <f t="shared" si="3"/>
        <v>-1.3082893941638101E-3</v>
      </c>
      <c r="G113" s="2">
        <f>VLOOKUP(A113,migr!$A$1:$H$210,8,FALSE)</f>
        <v>2.82988649567673</v>
      </c>
      <c r="H113" s="2">
        <f>VLOOKUP(B113,localidades!$B$1:$E$20,3,FALSE)</f>
        <v>-74.161960022510598</v>
      </c>
      <c r="I113" s="2">
        <f>VLOOKUP(B113,localidades!$H$1:$K$20,4,FALSE)</f>
        <v>4.48245576116999</v>
      </c>
      <c r="J113" s="1">
        <f>VLOOKUP(A113,def_hab!$A$1:$E$210,5,FALSE)</f>
        <v>5.2299464333453102E-2</v>
      </c>
      <c r="K113" t="e">
        <f>VLOOKUP(A113,ing_prom!$A$1:$D$229,4,FALSE)</f>
        <v>#N/A</v>
      </c>
    </row>
    <row r="114" spans="1:11" x14ac:dyDescent="0.25">
      <c r="A114" t="str">
        <f t="shared" si="2"/>
        <v>Usme2019</v>
      </c>
      <c r="B114" t="s">
        <v>12</v>
      </c>
      <c r="C114">
        <v>2019</v>
      </c>
      <c r="D114" s="1">
        <f>VLOOKUP(B114,share!$A$1:$C$20,3,FALSE)</f>
        <v>7.2164948453608251E-3</v>
      </c>
      <c r="E114" s="1">
        <f>VLOOKUP(C114,shift!$A$1:$C$15,3,FALSE)</f>
        <v>-0.19523703266752246</v>
      </c>
      <c r="F114" s="1">
        <f t="shared" si="3"/>
        <v>-1.4089270398687189E-3</v>
      </c>
      <c r="G114" s="2">
        <f>VLOOKUP(A114,migr!$A$1:$H$210,8,FALSE)</f>
        <v>1.61266070756132</v>
      </c>
      <c r="H114" s="2">
        <f>VLOOKUP(B114,localidades!$B$1:$E$20,3,FALSE)</f>
        <v>-74.142812024697704</v>
      </c>
      <c r="I114" s="2">
        <f>VLOOKUP(B114,localidades!$H$1:$K$20,4,FALSE)</f>
        <v>4.3900190318873902</v>
      </c>
      <c r="J114" s="1">
        <f>VLOOKUP(A114,def_hab!$A$1:$E$210,5,FALSE)</f>
        <v>5.1327675795738298E-2</v>
      </c>
      <c r="K114">
        <f>VLOOKUP(A114,ing_prom!$A$1:$D$229,4,FALSE)</f>
        <v>693322.46585882001</v>
      </c>
    </row>
    <row r="115" spans="1:11" x14ac:dyDescent="0.25">
      <c r="A115" t="str">
        <f t="shared" si="2"/>
        <v>Bosa2019</v>
      </c>
      <c r="B115" t="s">
        <v>9</v>
      </c>
      <c r="C115">
        <v>2019</v>
      </c>
      <c r="D115" s="1">
        <f>VLOOKUP(B115,share!$A$1:$C$20,3,FALSE)</f>
        <v>2.5945017182130586E-2</v>
      </c>
      <c r="E115" s="1">
        <f>VLOOKUP(C115,shift!$A$1:$C$15,3,FALSE)</f>
        <v>-0.19523703266752246</v>
      </c>
      <c r="F115" s="1">
        <f t="shared" si="3"/>
        <v>-5.0654281671470604E-3</v>
      </c>
      <c r="G115" s="2">
        <f>VLOOKUP(A115,migr!$A$1:$H$210,8,FALSE)</f>
        <v>2.7793758845020302</v>
      </c>
      <c r="H115" s="2">
        <f>VLOOKUP(B115,localidades!$B$1:$E$20,3,FALSE)</f>
        <v>-74.194388716263504</v>
      </c>
      <c r="I115" s="2">
        <f>VLOOKUP(B115,localidades!$H$1:$K$20,4,FALSE)</f>
        <v>4.6217797878632698</v>
      </c>
      <c r="J115" s="1">
        <f>VLOOKUP(A115,def_hab!$A$1:$E$210,5,FALSE)</f>
        <v>3.7514864919452502E-2</v>
      </c>
      <c r="K115">
        <f>VLOOKUP(A115,ing_prom!$A$1:$D$229,4,FALSE)</f>
        <v>728095.51594030403</v>
      </c>
    </row>
    <row r="116" spans="1:11" x14ac:dyDescent="0.25">
      <c r="A116" t="str">
        <f t="shared" si="2"/>
        <v>Chapinero2020</v>
      </c>
      <c r="B116" t="s">
        <v>18</v>
      </c>
      <c r="C116">
        <v>2020</v>
      </c>
      <c r="D116" s="1">
        <f>VLOOKUP(B116,share!$A$1:$C$20,3,FALSE)</f>
        <v>0.17577319587628865</v>
      </c>
      <c r="E116" s="1">
        <f>VLOOKUP(C116,shift!$A$1:$C$15,3,FALSE)</f>
        <v>-0.82669828016932922</v>
      </c>
      <c r="F116" s="1">
        <f t="shared" si="3"/>
        <v>-0.14531139873079446</v>
      </c>
      <c r="G116" s="2">
        <f>VLOOKUP(A116,migr!$A$1:$H$210,8,FALSE)</f>
        <v>9.2925791932289295E-2</v>
      </c>
      <c r="H116" s="2">
        <f>VLOOKUP(B116,localidades!$B$1:$E$20,3,FALSE)</f>
        <v>-74.036938848703201</v>
      </c>
      <c r="I116" s="2">
        <f>VLOOKUP(B116,localidades!$H$1:$K$20,4,FALSE)</f>
        <v>4.64492441542754</v>
      </c>
      <c r="J116" s="1">
        <f>VLOOKUP(A116,def_hab!$A$1:$E$210,5,FALSE)</f>
        <v>4.0135503727719603E-3</v>
      </c>
      <c r="K116">
        <f>VLOOKUP(A116,ing_prom!$A$1:$D$229,4,FALSE)</f>
        <v>3011085.1221829299</v>
      </c>
    </row>
    <row r="117" spans="1:11" x14ac:dyDescent="0.25">
      <c r="A117" t="str">
        <f t="shared" si="2"/>
        <v>Teusaquillo2020</v>
      </c>
      <c r="B117" t="s">
        <v>17</v>
      </c>
      <c r="C117">
        <v>2020</v>
      </c>
      <c r="D117" s="1">
        <f>VLOOKUP(B117,share!$A$1:$C$20,3,FALSE)</f>
        <v>0.15068728522336769</v>
      </c>
      <c r="E117" s="1">
        <f>VLOOKUP(C117,shift!$A$1:$C$15,3,FALSE)</f>
        <v>-0.82669828016932922</v>
      </c>
      <c r="F117" s="1">
        <f t="shared" si="3"/>
        <v>-0.12457291953754325</v>
      </c>
      <c r="G117" s="2">
        <f>VLOOKUP(A117,migr!$A$1:$H$210,8,FALSE)</f>
        <v>5.0765192727506903E-2</v>
      </c>
      <c r="H117" s="2">
        <f>VLOOKUP(B117,localidades!$B$1:$E$20,3,FALSE)</f>
        <v>-74.085768890680001</v>
      </c>
      <c r="I117" s="2">
        <f>VLOOKUP(B117,localidades!$H$1:$K$20,4,FALSE)</f>
        <v>4.6411735516069603</v>
      </c>
      <c r="J117" s="1">
        <f>VLOOKUP(A117,def_hab!$A$1:$E$210,5,FALSE)</f>
        <v>2.8861987949252102E-4</v>
      </c>
      <c r="K117">
        <f>VLOOKUP(A117,ing_prom!$A$1:$D$229,4,FALSE)</f>
        <v>3074596.87072419</v>
      </c>
    </row>
    <row r="118" spans="1:11" x14ac:dyDescent="0.25">
      <c r="A118" t="str">
        <f t="shared" si="2"/>
        <v>Usaquén2020</v>
      </c>
      <c r="B118" t="s">
        <v>10</v>
      </c>
      <c r="C118">
        <v>2020</v>
      </c>
      <c r="D118" s="1">
        <f>VLOOKUP(B118,share!$A$1:$C$20,3,FALSE)</f>
        <v>0.14725085910652921</v>
      </c>
      <c r="E118" s="1">
        <f>VLOOKUP(C118,shift!$A$1:$C$15,3,FALSE)</f>
        <v>-0.82669828016932922</v>
      </c>
      <c r="F118" s="1">
        <f t="shared" si="3"/>
        <v>-0.12173203197682392</v>
      </c>
      <c r="G118" s="2">
        <f>VLOOKUP(A118,migr!$A$1:$H$210,8,FALSE)</f>
        <v>0.44652339834743399</v>
      </c>
      <c r="H118" s="2">
        <f>VLOOKUP(B118,localidades!$B$1:$E$20,3,FALSE)</f>
        <v>-74.027882368779103</v>
      </c>
      <c r="I118" s="2">
        <f>VLOOKUP(B118,localidades!$H$1:$K$20,4,FALSE)</f>
        <v>4.7419260292461196</v>
      </c>
      <c r="J118" s="1">
        <f>VLOOKUP(A118,def_hab!$A$1:$E$210,5,FALSE)</f>
        <v>9.1658562937183101E-3</v>
      </c>
      <c r="K118">
        <f>VLOOKUP(A118,ing_prom!$A$1:$D$229,4,FALSE)</f>
        <v>2148482.0880275001</v>
      </c>
    </row>
    <row r="119" spans="1:11" x14ac:dyDescent="0.25">
      <c r="A119" t="str">
        <f t="shared" si="2"/>
        <v>Suba2020</v>
      </c>
      <c r="B119" t="s">
        <v>6</v>
      </c>
      <c r="C119">
        <v>2020</v>
      </c>
      <c r="D119" s="1">
        <f>VLOOKUP(B119,share!$A$1:$C$20,3,FALSE)</f>
        <v>0.10876288659793815</v>
      </c>
      <c r="E119" s="1">
        <f>VLOOKUP(C119,shift!$A$1:$C$15,3,FALSE)</f>
        <v>-0.82669828016932922</v>
      </c>
      <c r="F119" s="1">
        <f t="shared" si="3"/>
        <v>-8.9914091296767251E-2</v>
      </c>
      <c r="G119" s="2">
        <f>VLOOKUP(A119,migr!$A$1:$H$210,8,FALSE)</f>
        <v>0.859625770632788</v>
      </c>
      <c r="H119" s="2">
        <f>VLOOKUP(B119,localidades!$B$1:$E$20,3,FALSE)</f>
        <v>-74.075845800487997</v>
      </c>
      <c r="I119" s="2">
        <f>VLOOKUP(B119,localidades!$H$1:$K$20,4,FALSE)</f>
        <v>4.76320652488001</v>
      </c>
      <c r="J119" s="1">
        <f>VLOOKUP(A119,def_hab!$A$1:$E$210,5,FALSE)</f>
        <v>1.9047077517251799E-2</v>
      </c>
      <c r="K119">
        <f>VLOOKUP(A119,ing_prom!$A$1:$D$229,4,FALSE)</f>
        <v>1624453.4152063499</v>
      </c>
    </row>
    <row r="120" spans="1:11" x14ac:dyDescent="0.25">
      <c r="A120" t="str">
        <f t="shared" si="2"/>
        <v>Barrios Unidos2020</v>
      </c>
      <c r="B120" t="s">
        <v>15</v>
      </c>
      <c r="C120">
        <v>2020</v>
      </c>
      <c r="D120" s="1">
        <f>VLOOKUP(B120,share!$A$1:$C$20,3,FALSE)</f>
        <v>7.1993127147766317E-2</v>
      </c>
      <c r="E120" s="1">
        <f>VLOOKUP(C120,shift!$A$1:$C$15,3,FALSE)</f>
        <v>-0.82669828016932922</v>
      </c>
      <c r="F120" s="1">
        <f t="shared" si="3"/>
        <v>-5.9516594397070258E-2</v>
      </c>
      <c r="G120" s="2">
        <f>VLOOKUP(A120,migr!$A$1:$H$210,8,FALSE)</f>
        <v>6.5458104295232397E-2</v>
      </c>
      <c r="H120" s="2">
        <f>VLOOKUP(B120,localidades!$B$1:$E$20,3,FALSE)</f>
        <v>-74.073551677463399</v>
      </c>
      <c r="I120" s="2">
        <f>VLOOKUP(B120,localidades!$H$1:$K$20,4,FALSE)</f>
        <v>4.6695668454366004</v>
      </c>
      <c r="J120" s="1">
        <f>VLOOKUP(A120,def_hab!$A$1:$E$210,5,FALSE)</f>
        <v>6.8515750657980202E-3</v>
      </c>
      <c r="K120">
        <f>VLOOKUP(A120,ing_prom!$A$1:$D$229,4,FALSE)</f>
        <v>1796080.0411628401</v>
      </c>
    </row>
    <row r="121" spans="1:11" x14ac:dyDescent="0.25">
      <c r="A121" t="str">
        <f t="shared" si="2"/>
        <v>Engativá2020</v>
      </c>
      <c r="B121" t="s">
        <v>7</v>
      </c>
      <c r="C121">
        <v>2020</v>
      </c>
      <c r="D121" s="1">
        <f>VLOOKUP(B121,share!$A$1:$C$20,3,FALSE)</f>
        <v>6.0309278350515465E-2</v>
      </c>
      <c r="E121" s="1">
        <f>VLOOKUP(C121,shift!$A$1:$C$15,3,FALSE)</f>
        <v>-0.82669828016932922</v>
      </c>
      <c r="F121" s="1">
        <f t="shared" si="3"/>
        <v>-4.9857576690624496E-2</v>
      </c>
      <c r="G121" s="2">
        <f>VLOOKUP(A121,migr!$A$1:$H$210,8,FALSE)</f>
        <v>0.48457648523345698</v>
      </c>
      <c r="H121" s="2">
        <f>VLOOKUP(B121,localidades!$B$1:$E$20,3,FALSE)</f>
        <v>-74.113187148077898</v>
      </c>
      <c r="I121" s="2">
        <f>VLOOKUP(B121,localidades!$H$1:$K$20,4,FALSE)</f>
        <v>4.70112526984326</v>
      </c>
      <c r="J121" s="1">
        <f>VLOOKUP(A121,def_hab!$A$1:$E$210,5,FALSE)</f>
        <v>1.50208242550737E-2</v>
      </c>
      <c r="K121">
        <f>VLOOKUP(A121,ing_prom!$A$1:$D$229,4,FALSE)</f>
        <v>1200810.41695754</v>
      </c>
    </row>
    <row r="122" spans="1:11" x14ac:dyDescent="0.25">
      <c r="A122" t="str">
        <f t="shared" si="2"/>
        <v>Fontibón2020</v>
      </c>
      <c r="B122" t="s">
        <v>13</v>
      </c>
      <c r="C122">
        <v>2020</v>
      </c>
      <c r="D122" s="1">
        <f>VLOOKUP(B122,share!$A$1:$C$20,3,FALSE)</f>
        <v>5.0171821305841927E-2</v>
      </c>
      <c r="E122" s="1">
        <f>VLOOKUP(C122,shift!$A$1:$C$15,3,FALSE)</f>
        <v>-0.82669828016932922</v>
      </c>
      <c r="F122" s="1">
        <f t="shared" si="3"/>
        <v>-4.1476958386502429E-2</v>
      </c>
      <c r="G122" s="2">
        <f>VLOOKUP(A122,migr!$A$1:$H$210,8,FALSE)</f>
        <v>0.213089449922785</v>
      </c>
      <c r="H122" s="2">
        <f>VLOOKUP(B122,localidades!$B$1:$E$20,3,FALSE)</f>
        <v>-74.140150765275294</v>
      </c>
      <c r="I122" s="2">
        <f>VLOOKUP(B122,localidades!$H$1:$K$20,4,FALSE)</f>
        <v>4.6781827131162403</v>
      </c>
      <c r="J122" s="1">
        <f>VLOOKUP(A122,def_hab!$A$1:$E$210,5,FALSE)</f>
        <v>1.49890865980366E-2</v>
      </c>
      <c r="K122">
        <f>VLOOKUP(A122,ing_prom!$A$1:$D$229,4,FALSE)</f>
        <v>1518934.5675640299</v>
      </c>
    </row>
    <row r="123" spans="1:11" x14ac:dyDescent="0.25">
      <c r="A123" t="str">
        <f t="shared" si="2"/>
        <v>Kennedy2020</v>
      </c>
      <c r="B123" t="s">
        <v>5</v>
      </c>
      <c r="C123">
        <v>2020</v>
      </c>
      <c r="D123" s="1">
        <f>VLOOKUP(B123,share!$A$1:$C$20,3,FALSE)</f>
        <v>4.6907216494845361E-2</v>
      </c>
      <c r="E123" s="1">
        <f>VLOOKUP(C123,shift!$A$1:$C$15,3,FALSE)</f>
        <v>-0.82669828016932922</v>
      </c>
      <c r="F123" s="1">
        <f t="shared" si="3"/>
        <v>-3.8778115203819054E-2</v>
      </c>
      <c r="G123" s="2">
        <f>VLOOKUP(A123,migr!$A$1:$H$210,8,FALSE)</f>
        <v>0.74116708590624403</v>
      </c>
      <c r="H123" s="2">
        <f>VLOOKUP(B123,localidades!$B$1:$E$20,3,FALSE)</f>
        <v>-74.152667580564398</v>
      </c>
      <c r="I123" s="2">
        <f>VLOOKUP(B123,localidades!$H$1:$K$20,4,FALSE)</f>
        <v>4.6303471220515098</v>
      </c>
      <c r="J123" s="1">
        <f>VLOOKUP(A123,def_hab!$A$1:$E$210,5,FALSE)</f>
        <v>2.4571740966779301E-2</v>
      </c>
      <c r="K123">
        <f>VLOOKUP(A123,ing_prom!$A$1:$D$229,4,FALSE)</f>
        <v>988204.10227830498</v>
      </c>
    </row>
    <row r="124" spans="1:11" x14ac:dyDescent="0.25">
      <c r="A124" t="str">
        <f t="shared" si="2"/>
        <v>Antonio Nariño2020</v>
      </c>
      <c r="B124" t="s">
        <v>19</v>
      </c>
      <c r="C124">
        <v>2020</v>
      </c>
      <c r="D124" s="1">
        <f>VLOOKUP(B124,share!$A$1:$C$20,3,FALSE)</f>
        <v>2.7663230240549827E-2</v>
      </c>
      <c r="E124" s="1">
        <f>VLOOKUP(C124,shift!$A$1:$C$15,3,FALSE)</f>
        <v>-0.82669828016932922</v>
      </c>
      <c r="F124" s="1">
        <f t="shared" si="3"/>
        <v>-2.286914486379072E-2</v>
      </c>
      <c r="G124" s="2">
        <f>VLOOKUP(A124,migr!$A$1:$H$210,8,FALSE)</f>
        <v>6.3547211523601002E-2</v>
      </c>
      <c r="H124" s="2">
        <f>VLOOKUP(B124,localidades!$B$1:$E$20,3,FALSE)</f>
        <v>-74.102842336786907</v>
      </c>
      <c r="I124" s="2">
        <f>VLOOKUP(B124,localidades!$H$1:$K$20,4,FALSE)</f>
        <v>4.5887707178273196</v>
      </c>
      <c r="J124" s="1">
        <f>VLOOKUP(A124,def_hab!$A$1:$E$210,5,FALSE)</f>
        <v>1.2502740259217601E-2</v>
      </c>
      <c r="K124">
        <f>VLOOKUP(A124,ing_prom!$A$1:$D$229,4,FALSE)</f>
        <v>981351.34170232399</v>
      </c>
    </row>
    <row r="125" spans="1:11" x14ac:dyDescent="0.25">
      <c r="A125" t="str">
        <f t="shared" si="2"/>
        <v>La Candelaria2020</v>
      </c>
      <c r="B125" t="s">
        <v>22</v>
      </c>
      <c r="C125">
        <v>2020</v>
      </c>
      <c r="D125" s="1">
        <f>VLOOKUP(B125,share!$A$1:$C$20,3,FALSE)</f>
        <v>8.4192439862542951E-3</v>
      </c>
      <c r="E125" s="1">
        <f>VLOOKUP(C125,shift!$A$1:$C$15,3,FALSE)</f>
        <v>-0.82669828016932922</v>
      </c>
      <c r="F125" s="1">
        <f t="shared" si="3"/>
        <v>-6.9601745237623932E-3</v>
      </c>
      <c r="G125" s="2">
        <f>VLOOKUP(A125,migr!$A$1:$H$210,8,FALSE)</f>
        <v>1.8493242832392301E-2</v>
      </c>
      <c r="H125" s="2">
        <f>VLOOKUP(B125,localidades!$B$1:$E$20,3,FALSE)</f>
        <v>-74.072070819324594</v>
      </c>
      <c r="I125" s="2">
        <f>VLOOKUP(B125,localidades!$H$1:$K$20,4,FALSE)</f>
        <v>4.59660507502144</v>
      </c>
      <c r="J125" s="1">
        <f>VLOOKUP(A125,def_hab!$A$1:$E$210,5,FALSE)</f>
        <v>1.7516138304926601E-3</v>
      </c>
      <c r="K125">
        <f>VLOOKUP(A125,ing_prom!$A$1:$D$229,4,FALSE)</f>
        <v>1453157.6699272201</v>
      </c>
    </row>
    <row r="126" spans="1:11" x14ac:dyDescent="0.25">
      <c r="A126" t="str">
        <f t="shared" si="2"/>
        <v>Santa Fe2020</v>
      </c>
      <c r="B126" t="s">
        <v>20</v>
      </c>
      <c r="C126">
        <v>2020</v>
      </c>
      <c r="D126" s="1">
        <f>VLOOKUP(B126,share!$A$1:$C$20,3,FALSE)</f>
        <v>1.5979381443298968E-2</v>
      </c>
      <c r="E126" s="1">
        <f>VLOOKUP(C126,shift!$A$1:$C$15,3,FALSE)</f>
        <v>-0.82669828016932922</v>
      </c>
      <c r="F126" s="1">
        <f t="shared" si="3"/>
        <v>-1.321012715734495E-2</v>
      </c>
      <c r="G126" s="2">
        <f>VLOOKUP(A126,migr!$A$1:$H$210,8,FALSE)</f>
        <v>9.5476834682891407E-2</v>
      </c>
      <c r="H126" s="2">
        <f>VLOOKUP(B126,localidades!$B$1:$E$20,3,FALSE)</f>
        <v>-74.0362173927127</v>
      </c>
      <c r="I126" s="2">
        <f>VLOOKUP(B126,localidades!$H$1:$K$20,4,FALSE)</f>
        <v>4.5939727566360302</v>
      </c>
      <c r="J126" s="1">
        <f>VLOOKUP(A126,def_hab!$A$1:$E$210,5,FALSE)</f>
        <v>4.3476916175512401E-2</v>
      </c>
      <c r="K126">
        <f>VLOOKUP(A126,ing_prom!$A$1:$D$229,4,FALSE)</f>
        <v>1132387.2107038901</v>
      </c>
    </row>
    <row r="127" spans="1:11" x14ac:dyDescent="0.25">
      <c r="A127" t="str">
        <f t="shared" si="2"/>
        <v>Puente Aranda2020</v>
      </c>
      <c r="B127" t="s">
        <v>14</v>
      </c>
      <c r="C127">
        <v>2020</v>
      </c>
      <c r="D127" s="1">
        <f>VLOOKUP(B127,share!$A$1:$C$20,3,FALSE)</f>
        <v>3.1786941580756012E-2</v>
      </c>
      <c r="E127" s="1">
        <f>VLOOKUP(C127,shift!$A$1:$C$15,3,FALSE)</f>
        <v>-0.82669828016932922</v>
      </c>
      <c r="F127" s="1">
        <f t="shared" si="3"/>
        <v>-2.6278209936653935E-2</v>
      </c>
      <c r="G127" s="2">
        <f>VLOOKUP(A127,migr!$A$1:$H$210,8,FALSE)</f>
        <v>7.4786627495466204E-2</v>
      </c>
      <c r="H127" s="2">
        <f>VLOOKUP(B127,localidades!$B$1:$E$20,3,FALSE)</f>
        <v>-74.111580402476093</v>
      </c>
      <c r="I127" s="2">
        <f>VLOOKUP(B127,localidades!$H$1:$K$20,4,FALSE)</f>
        <v>4.6162453592553296</v>
      </c>
      <c r="J127" s="1">
        <f>VLOOKUP(A127,def_hab!$A$1:$E$210,5,FALSE)</f>
        <v>1.21590488244412E-2</v>
      </c>
      <c r="K127">
        <f>VLOOKUP(A127,ing_prom!$A$1:$D$229,4,FALSE)</f>
        <v>952622.40544246696</v>
      </c>
    </row>
    <row r="128" spans="1:11" x14ac:dyDescent="0.25">
      <c r="A128" t="str">
        <f t="shared" si="2"/>
        <v>Los Mártires2020</v>
      </c>
      <c r="B128" t="s">
        <v>21</v>
      </c>
      <c r="C128">
        <v>2020</v>
      </c>
      <c r="D128" s="1">
        <f>VLOOKUP(B128,share!$A$1:$C$20,3,FALSE)</f>
        <v>1.5120274914089347E-2</v>
      </c>
      <c r="E128" s="1">
        <f>VLOOKUP(C128,shift!$A$1:$C$15,3,FALSE)</f>
        <v>-0.82669828016932922</v>
      </c>
      <c r="F128" s="1">
        <f t="shared" si="3"/>
        <v>-1.2499905267165115E-2</v>
      </c>
      <c r="G128" s="2">
        <f>VLOOKUP(A128,migr!$A$1:$H$210,8,FALSE)</f>
        <v>0.18654561108272399</v>
      </c>
      <c r="H128" s="2">
        <f>VLOOKUP(B128,localidades!$B$1:$E$20,3,FALSE)</f>
        <v>-74.087947983810096</v>
      </c>
      <c r="I128" s="2">
        <f>VLOOKUP(B128,localidades!$H$1:$K$20,4,FALSE)</f>
        <v>4.6071559155114903</v>
      </c>
      <c r="J128" s="1">
        <f>VLOOKUP(A128,def_hab!$A$1:$E$210,5,FALSE)</f>
        <v>1.9903522457531901E-2</v>
      </c>
      <c r="K128">
        <f>VLOOKUP(A128,ing_prom!$A$1:$D$229,4,FALSE)</f>
        <v>1081480.20955335</v>
      </c>
    </row>
    <row r="129" spans="1:11" x14ac:dyDescent="0.25">
      <c r="A129" t="str">
        <f t="shared" si="2"/>
        <v>Tunjuelito2020</v>
      </c>
      <c r="B129" t="s">
        <v>16</v>
      </c>
      <c r="C129">
        <v>2020</v>
      </c>
      <c r="D129" s="1">
        <f>VLOOKUP(B129,share!$A$1:$C$20,3,FALSE)</f>
        <v>7.5601374570446736E-3</v>
      </c>
      <c r="E129" s="1">
        <f>VLOOKUP(C129,shift!$A$1:$C$15,3,FALSE)</f>
        <v>-0.82669828016932922</v>
      </c>
      <c r="F129" s="1">
        <f t="shared" si="3"/>
        <v>-6.2499526335825575E-3</v>
      </c>
      <c r="G129" s="2">
        <f>VLOOKUP(A129,migr!$A$1:$H$210,8,FALSE)</f>
        <v>0.13787382360442199</v>
      </c>
      <c r="H129" s="2">
        <f>VLOOKUP(B129,localidades!$B$1:$E$20,3,FALSE)</f>
        <v>-74.135989244733693</v>
      </c>
      <c r="I129" s="2">
        <f>VLOOKUP(B129,localidades!$H$1:$K$20,4,FALSE)</f>
        <v>4.5748411850953001</v>
      </c>
      <c r="J129" s="1">
        <f>VLOOKUP(A129,def_hab!$A$1:$E$210,5,FALSE)</f>
        <v>3.6118510033613299E-2</v>
      </c>
      <c r="K129">
        <f>VLOOKUP(A129,ing_prom!$A$1:$D$229,4,FALSE)</f>
        <v>857739.96691903495</v>
      </c>
    </row>
    <row r="130" spans="1:11" x14ac:dyDescent="0.25">
      <c r="A130" t="str">
        <f t="shared" si="2"/>
        <v>San Cristóbal2020</v>
      </c>
      <c r="B130" t="s">
        <v>11</v>
      </c>
      <c r="C130">
        <v>2020</v>
      </c>
      <c r="D130" s="1">
        <f>VLOOKUP(B130,share!$A$1:$C$20,3,FALSE)</f>
        <v>2.2508591065292096E-2</v>
      </c>
      <c r="E130" s="1">
        <f>VLOOKUP(C130,shift!$A$1:$C$15,3,FALSE)</f>
        <v>-0.82669828016932922</v>
      </c>
      <c r="F130" s="1">
        <f t="shared" si="3"/>
        <v>-1.8607813522711705E-2</v>
      </c>
      <c r="G130" s="2">
        <f>VLOOKUP(A130,migr!$A$1:$H$210,8,FALSE)</f>
        <v>0.12882170392936801</v>
      </c>
      <c r="H130" s="2">
        <f>VLOOKUP(B130,localidades!$B$1:$E$20,3,FALSE)</f>
        <v>-74.066072400776207</v>
      </c>
      <c r="I130" s="2">
        <f>VLOOKUP(B130,localidades!$H$1:$K$20,4,FALSE)</f>
        <v>4.5487488041769897</v>
      </c>
      <c r="J130" s="1">
        <f>VLOOKUP(A130,def_hab!$A$1:$E$210,5,FALSE)</f>
        <v>4.21707867263807E-2</v>
      </c>
      <c r="K130">
        <f>VLOOKUP(A130,ing_prom!$A$1:$D$229,4,FALSE)</f>
        <v>774374.94980377704</v>
      </c>
    </row>
    <row r="131" spans="1:11" x14ac:dyDescent="0.25">
      <c r="A131" t="str">
        <f t="shared" ref="A131:A194" si="4">B131&amp;C131</f>
        <v>Rafael Uribe2020</v>
      </c>
      <c r="B131" t="s">
        <v>29</v>
      </c>
      <c r="C131">
        <v>2020</v>
      </c>
      <c r="D131" s="1">
        <f>VLOOKUP(B131,share!$A$1:$C$20,3,FALSE)</f>
        <v>1.9243986254295534E-2</v>
      </c>
      <c r="E131" s="1">
        <f>VLOOKUP(C131,shift!$A$1:$C$15,3,FALSE)</f>
        <v>-0.82669828016932922</v>
      </c>
      <c r="F131" s="1">
        <f t="shared" ref="F131:F194" si="5">D131*E131</f>
        <v>-1.590897034002833E-2</v>
      </c>
      <c r="G131" s="2">
        <f>VLOOKUP(A131,migr!$A$1:$H$210,8,FALSE)</f>
        <v>0.28900145052160597</v>
      </c>
      <c r="H131" s="2">
        <f>VLOOKUP(B131,localidades!$B$1:$E$20,3,FALSE)</f>
        <v>-74.113363102222095</v>
      </c>
      <c r="I131" s="2">
        <f>VLOOKUP(B131,localidades!$H$1:$K$20,4,FALSE)</f>
        <v>4.5664766672516102</v>
      </c>
      <c r="J131" s="1">
        <f>VLOOKUP(A131,def_hab!$A$1:$E$210,5,FALSE)</f>
        <v>3.75163162964764E-2</v>
      </c>
      <c r="K131">
        <f>VLOOKUP(A131,ing_prom!$A$1:$D$229,4,FALSE)</f>
        <v>827300.22927178699</v>
      </c>
    </row>
    <row r="132" spans="1:11" x14ac:dyDescent="0.25">
      <c r="A132" t="str">
        <f t="shared" si="4"/>
        <v>Ciudad Bolívar2020</v>
      </c>
      <c r="B132" t="s">
        <v>8</v>
      </c>
      <c r="C132">
        <v>2020</v>
      </c>
      <c r="D132" s="1">
        <f>VLOOKUP(B132,share!$A$1:$C$20,3,FALSE)</f>
        <v>6.7010309278350512E-3</v>
      </c>
      <c r="E132" s="1">
        <f>VLOOKUP(C132,shift!$A$1:$C$15,3,FALSE)</f>
        <v>-0.82669828016932922</v>
      </c>
      <c r="F132" s="1">
        <f t="shared" si="5"/>
        <v>-5.539730743402721E-3</v>
      </c>
      <c r="G132" s="2">
        <f>VLOOKUP(A132,migr!$A$1:$H$210,8,FALSE)</f>
        <v>0.47874322125403002</v>
      </c>
      <c r="H132" s="2">
        <f>VLOOKUP(B132,localidades!$B$1:$E$20,3,FALSE)</f>
        <v>-74.161960022510598</v>
      </c>
      <c r="I132" s="2">
        <f>VLOOKUP(B132,localidades!$H$1:$K$20,4,FALSE)</f>
        <v>4.48245576116999</v>
      </c>
      <c r="J132" s="1">
        <f>VLOOKUP(A132,def_hab!$A$1:$E$210,5,FALSE)</f>
        <v>5.6573118827998703E-2</v>
      </c>
      <c r="K132" t="e">
        <f>VLOOKUP(A132,ing_prom!$A$1:$D$229,4,FALSE)</f>
        <v>#N/A</v>
      </c>
    </row>
    <row r="133" spans="1:11" x14ac:dyDescent="0.25">
      <c r="A133" t="str">
        <f t="shared" si="4"/>
        <v>Usme2020</v>
      </c>
      <c r="B133" t="s">
        <v>12</v>
      </c>
      <c r="C133">
        <v>2020</v>
      </c>
      <c r="D133" s="1">
        <f>VLOOKUP(B133,share!$A$1:$C$20,3,FALSE)</f>
        <v>7.2164948453608251E-3</v>
      </c>
      <c r="E133" s="1">
        <f>VLOOKUP(C133,shift!$A$1:$C$15,3,FALSE)</f>
        <v>-0.82669828016932922</v>
      </c>
      <c r="F133" s="1">
        <f t="shared" si="5"/>
        <v>-5.9658638775106233E-3</v>
      </c>
      <c r="G133" s="2">
        <f>VLOOKUP(A133,migr!$A$1:$H$210,8,FALSE)</f>
        <v>0.27282026438416801</v>
      </c>
      <c r="H133" s="2">
        <f>VLOOKUP(B133,localidades!$B$1:$E$20,3,FALSE)</f>
        <v>-74.142812024697704</v>
      </c>
      <c r="I133" s="2">
        <f>VLOOKUP(B133,localidades!$H$1:$K$20,4,FALSE)</f>
        <v>4.3900190318873902</v>
      </c>
      <c r="J133" s="1">
        <f>VLOOKUP(A133,def_hab!$A$1:$E$210,5,FALSE)</f>
        <v>5.5521920519937602E-2</v>
      </c>
      <c r="K133">
        <f>VLOOKUP(A133,ing_prom!$A$1:$D$229,4,FALSE)</f>
        <v>703652.97060011595</v>
      </c>
    </row>
    <row r="134" spans="1:11" x14ac:dyDescent="0.25">
      <c r="A134" t="str">
        <f t="shared" si="4"/>
        <v>Bosa2020</v>
      </c>
      <c r="B134" t="s">
        <v>9</v>
      </c>
      <c r="C134">
        <v>2020</v>
      </c>
      <c r="D134" s="1">
        <f>VLOOKUP(B134,share!$A$1:$C$20,3,FALSE)</f>
        <v>2.5945017182130586E-2</v>
      </c>
      <c r="E134" s="1">
        <f>VLOOKUP(C134,shift!$A$1:$C$15,3,FALSE)</f>
        <v>-0.82669828016932922</v>
      </c>
      <c r="F134" s="1">
        <f t="shared" si="5"/>
        <v>-2.1448701083431051E-2</v>
      </c>
      <c r="G134" s="2">
        <f>VLOOKUP(A134,migr!$A$1:$H$210,8,FALSE)</f>
        <v>0.47019813906143099</v>
      </c>
      <c r="H134" s="2">
        <f>VLOOKUP(B134,localidades!$B$1:$E$20,3,FALSE)</f>
        <v>-74.194388716263504</v>
      </c>
      <c r="I134" s="2">
        <f>VLOOKUP(B134,localidades!$H$1:$K$20,4,FALSE)</f>
        <v>4.6217797878632698</v>
      </c>
      <c r="J134" s="1">
        <f>VLOOKUP(A134,def_hab!$A$1:$E$210,5,FALSE)</f>
        <v>4.0580394808115899E-2</v>
      </c>
      <c r="K134">
        <f>VLOOKUP(A134,ing_prom!$A$1:$D$229,4,FALSE)</f>
        <v>738944.13912781503</v>
      </c>
    </row>
    <row r="135" spans="1:11" x14ac:dyDescent="0.25">
      <c r="A135" t="str">
        <f t="shared" si="4"/>
        <v>Chapinero2021</v>
      </c>
      <c r="B135" t="s">
        <v>18</v>
      </c>
      <c r="C135">
        <v>2021</v>
      </c>
      <c r="D135" s="1">
        <f>VLOOKUP(B135,share!$A$1:$C$20,3,FALSE)</f>
        <v>0.17577319587628865</v>
      </c>
      <c r="E135" s="1">
        <f>VLOOKUP(C135,shift!$A$1:$C$15,3,FALSE)</f>
        <v>0.37231823678193687</v>
      </c>
      <c r="F135" s="1">
        <f t="shared" si="5"/>
        <v>6.5443566362185804E-2</v>
      </c>
      <c r="G135" s="2">
        <f>VLOOKUP(A135,migr!$A$1:$H$210,8,FALSE)</f>
        <v>0.12610382832519301</v>
      </c>
      <c r="H135" s="2">
        <f>VLOOKUP(B135,localidades!$B$1:$E$20,3,FALSE)</f>
        <v>-74.036938848703201</v>
      </c>
      <c r="I135" s="2">
        <f>VLOOKUP(B135,localidades!$H$1:$K$20,4,FALSE)</f>
        <v>4.64492441542754</v>
      </c>
      <c r="J135" s="1">
        <f>VLOOKUP(A135,def_hab!$A$1:$E$210,5,FALSE)</f>
        <v>3.9688609511285E-3</v>
      </c>
      <c r="K135">
        <f>VLOOKUP(A135,ing_prom!$A$1:$D$229,4,FALSE)</f>
        <v>3169468.19960975</v>
      </c>
    </row>
    <row r="136" spans="1:11" x14ac:dyDescent="0.25">
      <c r="A136" t="str">
        <f t="shared" si="4"/>
        <v>Teusaquillo2021</v>
      </c>
      <c r="B136" t="s">
        <v>17</v>
      </c>
      <c r="C136">
        <v>2021</v>
      </c>
      <c r="D136" s="1">
        <f>VLOOKUP(B136,share!$A$1:$C$20,3,FALSE)</f>
        <v>0.15068728522336769</v>
      </c>
      <c r="E136" s="1">
        <f>VLOOKUP(C136,shift!$A$1:$C$15,3,FALSE)</f>
        <v>0.37231823678193687</v>
      </c>
      <c r="F136" s="1">
        <f t="shared" si="5"/>
        <v>5.6103624339821072E-2</v>
      </c>
      <c r="G136" s="2">
        <f>VLOOKUP(A136,migr!$A$1:$H$210,8,FALSE)</f>
        <v>6.8890294238971597E-2</v>
      </c>
      <c r="H136" s="2">
        <f>VLOOKUP(B136,localidades!$B$1:$E$20,3,FALSE)</f>
        <v>-74.085768890680001</v>
      </c>
      <c r="I136" s="2">
        <f>VLOOKUP(B136,localidades!$H$1:$K$20,4,FALSE)</f>
        <v>4.6411735516069603</v>
      </c>
      <c r="J136" s="1">
        <f>VLOOKUP(A136,def_hab!$A$1:$E$210,5,FALSE)</f>
        <v>2.85406202251336E-4</v>
      </c>
      <c r="K136">
        <f>VLOOKUP(A136,ing_prom!$A$1:$D$229,4,FALSE)</f>
        <v>3236320.6661242801</v>
      </c>
    </row>
    <row r="137" spans="1:11" x14ac:dyDescent="0.25">
      <c r="A137" t="str">
        <f t="shared" si="4"/>
        <v>Usaquén2021</v>
      </c>
      <c r="B137" t="s">
        <v>10</v>
      </c>
      <c r="C137">
        <v>2021</v>
      </c>
      <c r="D137" s="1">
        <f>VLOOKUP(B137,share!$A$1:$C$20,3,FALSE)</f>
        <v>0.14725085910652921</v>
      </c>
      <c r="E137" s="1">
        <f>VLOOKUP(C137,shift!$A$1:$C$15,3,FALSE)</f>
        <v>0.37231823678193687</v>
      </c>
      <c r="F137" s="1">
        <f t="shared" si="5"/>
        <v>5.4824180227168368E-2</v>
      </c>
      <c r="G137" s="2">
        <f>VLOOKUP(A137,migr!$A$1:$H$210,8,FALSE)</f>
        <v>0.60594920739998404</v>
      </c>
      <c r="H137" s="2">
        <f>VLOOKUP(B137,localidades!$B$1:$E$20,3,FALSE)</f>
        <v>-74.027882368779103</v>
      </c>
      <c r="I137" s="2">
        <f>VLOOKUP(B137,localidades!$H$1:$K$20,4,FALSE)</f>
        <v>4.7419260292461196</v>
      </c>
      <c r="J137" s="1">
        <f>VLOOKUP(A137,def_hab!$A$1:$E$210,5,FALSE)</f>
        <v>9.0637978221435704E-3</v>
      </c>
      <c r="K137">
        <f>VLOOKUP(A137,ing_prom!$A$1:$D$229,4,FALSE)</f>
        <v>2261492.2458577501</v>
      </c>
    </row>
    <row r="138" spans="1:11" x14ac:dyDescent="0.25">
      <c r="A138" t="str">
        <f t="shared" si="4"/>
        <v>Suba2021</v>
      </c>
      <c r="B138" t="s">
        <v>6</v>
      </c>
      <c r="C138">
        <v>2021</v>
      </c>
      <c r="D138" s="1">
        <f>VLOOKUP(B138,share!$A$1:$C$20,3,FALSE)</f>
        <v>0.10876288659793815</v>
      </c>
      <c r="E138" s="1">
        <f>VLOOKUP(C138,shift!$A$1:$C$15,3,FALSE)</f>
        <v>0.37231823678193687</v>
      </c>
      <c r="F138" s="1">
        <f t="shared" si="5"/>
        <v>4.0494406165458081E-2</v>
      </c>
      <c r="G138" s="2">
        <f>VLOOKUP(A138,migr!$A$1:$H$210,8,FALSE)</f>
        <v>1.16654481333639</v>
      </c>
      <c r="H138" s="2">
        <f>VLOOKUP(B138,localidades!$B$1:$E$20,3,FALSE)</f>
        <v>-74.075845800487997</v>
      </c>
      <c r="I138" s="2">
        <f>VLOOKUP(B138,localidades!$H$1:$K$20,4,FALSE)</f>
        <v>4.76320652488001</v>
      </c>
      <c r="J138" s="1">
        <f>VLOOKUP(A138,def_hab!$A$1:$E$210,5,FALSE)</f>
        <v>1.8834995246148699E-2</v>
      </c>
      <c r="K138">
        <f>VLOOKUP(A138,ing_prom!$A$1:$D$229,4,FALSE)</f>
        <v>1709899.66484621</v>
      </c>
    </row>
    <row r="139" spans="1:11" x14ac:dyDescent="0.25">
      <c r="A139" t="str">
        <f t="shared" si="4"/>
        <v>Barrios Unidos2021</v>
      </c>
      <c r="B139" t="s">
        <v>15</v>
      </c>
      <c r="C139">
        <v>2021</v>
      </c>
      <c r="D139" s="1">
        <f>VLOOKUP(B139,share!$A$1:$C$20,3,FALSE)</f>
        <v>7.1993127147766317E-2</v>
      </c>
      <c r="E139" s="1">
        <f>VLOOKUP(C139,shift!$A$1:$C$15,3,FALSE)</f>
        <v>0.37231823678193687</v>
      </c>
      <c r="F139" s="1">
        <f t="shared" si="5"/>
        <v>2.6804354160074147E-2</v>
      </c>
      <c r="G139" s="2">
        <f>VLOOKUP(A139,migr!$A$1:$H$210,8,FALSE)</f>
        <v>8.8829133170618996E-2</v>
      </c>
      <c r="H139" s="2">
        <f>VLOOKUP(B139,localidades!$B$1:$E$20,3,FALSE)</f>
        <v>-74.073551677463399</v>
      </c>
      <c r="I139" s="2">
        <f>VLOOKUP(B139,localidades!$H$1:$K$20,4,FALSE)</f>
        <v>4.6695668454366004</v>
      </c>
      <c r="J139" s="1">
        <f>VLOOKUP(A139,def_hab!$A$1:$E$210,5,FALSE)</f>
        <v>6.7752852728220903E-3</v>
      </c>
      <c r="K139">
        <f>VLOOKUP(A139,ing_prom!$A$1:$D$229,4,FALSE)</f>
        <v>1890553.851328</v>
      </c>
    </row>
    <row r="140" spans="1:11" x14ac:dyDescent="0.25">
      <c r="A140" t="str">
        <f t="shared" si="4"/>
        <v>Engativá2021</v>
      </c>
      <c r="B140" t="s">
        <v>7</v>
      </c>
      <c r="C140">
        <v>2021</v>
      </c>
      <c r="D140" s="1">
        <f>VLOOKUP(B140,share!$A$1:$C$20,3,FALSE)</f>
        <v>6.0309278350515465E-2</v>
      </c>
      <c r="E140" s="1">
        <f>VLOOKUP(C140,shift!$A$1:$C$15,3,FALSE)</f>
        <v>0.37231823678193687</v>
      </c>
      <c r="F140" s="1">
        <f t="shared" si="5"/>
        <v>2.2454244177054956E-2</v>
      </c>
      <c r="G140" s="2">
        <f>VLOOKUP(A140,migr!$A$1:$H$210,8,FALSE)</f>
        <v>0.65758869129499598</v>
      </c>
      <c r="H140" s="2">
        <f>VLOOKUP(B140,localidades!$B$1:$E$20,3,FALSE)</f>
        <v>-74.113187148077898</v>
      </c>
      <c r="I140" s="2">
        <f>VLOOKUP(B140,localidades!$H$1:$K$20,4,FALSE)</f>
        <v>4.70112526984326</v>
      </c>
      <c r="J140" s="1">
        <f>VLOOKUP(A140,def_hab!$A$1:$E$210,5,FALSE)</f>
        <v>1.48535728476611E-2</v>
      </c>
      <c r="K140">
        <f>VLOOKUP(A140,ing_prom!$A$1:$D$229,4,FALSE)</f>
        <v>1263973.0448895099</v>
      </c>
    </row>
    <row r="141" spans="1:11" x14ac:dyDescent="0.25">
      <c r="A141" t="str">
        <f t="shared" si="4"/>
        <v>Fontibón2021</v>
      </c>
      <c r="B141" t="s">
        <v>13</v>
      </c>
      <c r="C141">
        <v>2021</v>
      </c>
      <c r="D141" s="1">
        <f>VLOOKUP(B141,share!$A$1:$C$20,3,FALSE)</f>
        <v>5.0171821305841927E-2</v>
      </c>
      <c r="E141" s="1">
        <f>VLOOKUP(C141,shift!$A$1:$C$15,3,FALSE)</f>
        <v>0.37231823678193687</v>
      </c>
      <c r="F141" s="1">
        <f t="shared" si="5"/>
        <v>1.8679884044729481E-2</v>
      </c>
      <c r="G141" s="2">
        <f>VLOOKUP(A141,migr!$A$1:$H$210,8,FALSE)</f>
        <v>0.28917047519544098</v>
      </c>
      <c r="H141" s="2">
        <f>VLOOKUP(B141,localidades!$B$1:$E$20,3,FALSE)</f>
        <v>-74.140150765275294</v>
      </c>
      <c r="I141" s="2">
        <f>VLOOKUP(B141,localidades!$H$1:$K$20,4,FALSE)</f>
        <v>4.6781827131162403</v>
      </c>
      <c r="J141" s="1">
        <f>VLOOKUP(A141,def_hab!$A$1:$E$210,5,FALSE)</f>
        <v>1.4822188577876099E-2</v>
      </c>
      <c r="K141">
        <f>VLOOKUP(A141,ing_prom!$A$1:$D$229,4,FALSE)</f>
        <v>1598830.5258179</v>
      </c>
    </row>
    <row r="142" spans="1:11" x14ac:dyDescent="0.25">
      <c r="A142" t="str">
        <f t="shared" si="4"/>
        <v>Kennedy2021</v>
      </c>
      <c r="B142" t="s">
        <v>5</v>
      </c>
      <c r="C142">
        <v>2021</v>
      </c>
      <c r="D142" s="1">
        <f>VLOOKUP(B142,share!$A$1:$C$20,3,FALSE)</f>
        <v>4.6907216494845361E-2</v>
      </c>
      <c r="E142" s="1">
        <f>VLOOKUP(C142,shift!$A$1:$C$15,3,FALSE)</f>
        <v>0.37231823678193687</v>
      </c>
      <c r="F142" s="1">
        <f t="shared" si="5"/>
        <v>1.7464412137709408E-2</v>
      </c>
      <c r="G142" s="2">
        <f>VLOOKUP(A142,migr!$A$1:$H$210,8,FALSE)</f>
        <v>1.0057918799283101</v>
      </c>
      <c r="H142" s="2">
        <f>VLOOKUP(B142,localidades!$B$1:$E$20,3,FALSE)</f>
        <v>-74.152667580564398</v>
      </c>
      <c r="I142" s="2">
        <f>VLOOKUP(B142,localidades!$H$1:$K$20,4,FALSE)</f>
        <v>4.6303471220515098</v>
      </c>
      <c r="J142" s="1">
        <f>VLOOKUP(A142,def_hab!$A$1:$E$210,5,FALSE)</f>
        <v>2.4298143580278899E-2</v>
      </c>
      <c r="K142">
        <f>VLOOKUP(A142,ing_prom!$A$1:$D$229,4,FALSE)</f>
        <v>1040183.6380581399</v>
      </c>
    </row>
    <row r="143" spans="1:11" x14ac:dyDescent="0.25">
      <c r="A143" t="str">
        <f t="shared" si="4"/>
        <v>Antonio Nariño2021</v>
      </c>
      <c r="B143" t="s">
        <v>19</v>
      </c>
      <c r="C143">
        <v>2021</v>
      </c>
      <c r="D143" s="1">
        <f>VLOOKUP(B143,share!$A$1:$C$20,3,FALSE)</f>
        <v>2.7663230240549827E-2</v>
      </c>
      <c r="E143" s="1">
        <f>VLOOKUP(C143,shift!$A$1:$C$15,3,FALSE)</f>
        <v>0.37231823678193687</v>
      </c>
      <c r="F143" s="1">
        <f t="shared" si="5"/>
        <v>1.0299525106854267E-2</v>
      </c>
      <c r="G143" s="2">
        <f>VLOOKUP(A143,migr!$A$1:$H$210,8,FALSE)</f>
        <v>8.6235979117143299E-2</v>
      </c>
      <c r="H143" s="2">
        <f>VLOOKUP(B143,localidades!$B$1:$E$20,3,FALSE)</f>
        <v>-74.102842336786907</v>
      </c>
      <c r="I143" s="2">
        <f>VLOOKUP(B143,localidades!$H$1:$K$20,4,FALSE)</f>
        <v>4.5887707178273196</v>
      </c>
      <c r="J143" s="1">
        <f>VLOOKUP(A143,def_hab!$A$1:$E$210,5,FALSE)</f>
        <v>1.2363526799998701E-2</v>
      </c>
      <c r="K143">
        <f>VLOOKUP(A143,ing_prom!$A$1:$D$229,4,FALSE)</f>
        <v>1032970.42227587</v>
      </c>
    </row>
    <row r="144" spans="1:11" x14ac:dyDescent="0.25">
      <c r="A144" t="str">
        <f t="shared" si="4"/>
        <v>La Candelaria2021</v>
      </c>
      <c r="B144" t="s">
        <v>22</v>
      </c>
      <c r="C144">
        <v>2021</v>
      </c>
      <c r="D144" s="1">
        <f>VLOOKUP(B144,share!$A$1:$C$20,3,FALSE)</f>
        <v>8.4192439862542951E-3</v>
      </c>
      <c r="E144" s="1">
        <f>VLOOKUP(C144,shift!$A$1:$C$15,3,FALSE)</f>
        <v>0.37231823678193687</v>
      </c>
      <c r="F144" s="1">
        <f t="shared" si="5"/>
        <v>3.1346380759991249E-3</v>
      </c>
      <c r="G144" s="2">
        <f>VLOOKUP(A144,migr!$A$1:$H$210,8,FALSE)</f>
        <v>2.50960327678603E-2</v>
      </c>
      <c r="H144" s="2">
        <f>VLOOKUP(B144,localidades!$B$1:$E$20,3,FALSE)</f>
        <v>-74.072070819324594</v>
      </c>
      <c r="I144" s="2">
        <f>VLOOKUP(B144,localidades!$H$1:$K$20,4,FALSE)</f>
        <v>4.59660507502144</v>
      </c>
      <c r="J144" s="1">
        <f>VLOOKUP(A144,def_hab!$A$1:$E$210,5,FALSE)</f>
        <v>1.7321102484376199E-3</v>
      </c>
      <c r="K144">
        <f>VLOOKUP(A144,ing_prom!$A$1:$D$229,4,FALSE)</f>
        <v>1529593.76336539</v>
      </c>
    </row>
    <row r="145" spans="1:11" x14ac:dyDescent="0.25">
      <c r="A145" t="str">
        <f t="shared" si="4"/>
        <v>Santa Fe2021</v>
      </c>
      <c r="B145" t="s">
        <v>20</v>
      </c>
      <c r="C145">
        <v>2021</v>
      </c>
      <c r="D145" s="1">
        <f>VLOOKUP(B145,share!$A$1:$C$20,3,FALSE)</f>
        <v>1.5979381443298968E-2</v>
      </c>
      <c r="E145" s="1">
        <f>VLOOKUP(C145,shift!$A$1:$C$15,3,FALSE)</f>
        <v>0.37231823678193687</v>
      </c>
      <c r="F145" s="1">
        <f t="shared" si="5"/>
        <v>5.9494151238350737E-3</v>
      </c>
      <c r="G145" s="2">
        <f>VLOOKUP(A145,migr!$A$1:$H$210,8,FALSE)</f>
        <v>0.12956569020856101</v>
      </c>
      <c r="H145" s="2">
        <f>VLOOKUP(B145,localidades!$B$1:$E$20,3,FALSE)</f>
        <v>-74.0362173927127</v>
      </c>
      <c r="I145" s="2">
        <f>VLOOKUP(B145,localidades!$H$1:$K$20,4,FALSE)</f>
        <v>4.5939727566360302</v>
      </c>
      <c r="J145" s="1">
        <f>VLOOKUP(A145,def_hab!$A$1:$E$210,5,FALSE)</f>
        <v>4.2992816548432601E-2</v>
      </c>
      <c r="K145">
        <f>VLOOKUP(A145,ing_prom!$A$1:$D$229,4,FALSE)</f>
        <v>1191950.77798691</v>
      </c>
    </row>
    <row r="146" spans="1:11" x14ac:dyDescent="0.25">
      <c r="A146" t="str">
        <f t="shared" si="4"/>
        <v>Puente Aranda2021</v>
      </c>
      <c r="B146" t="s">
        <v>14</v>
      </c>
      <c r="C146">
        <v>2021</v>
      </c>
      <c r="D146" s="1">
        <f>VLOOKUP(B146,share!$A$1:$C$20,3,FALSE)</f>
        <v>3.1786941580756012E-2</v>
      </c>
      <c r="E146" s="1">
        <f>VLOOKUP(C146,shift!$A$1:$C$15,3,FALSE)</f>
        <v>0.37231823678193687</v>
      </c>
      <c r="F146" s="1">
        <f t="shared" si="5"/>
        <v>1.1834858042037511E-2</v>
      </c>
      <c r="G146" s="2">
        <f>VLOOKUP(A146,migr!$A$1:$H$210,8,FALSE)</f>
        <v>0.10148829338554601</v>
      </c>
      <c r="H146" s="2">
        <f>VLOOKUP(B146,localidades!$B$1:$E$20,3,FALSE)</f>
        <v>-74.111580402476093</v>
      </c>
      <c r="I146" s="2">
        <f>VLOOKUP(B146,localidades!$H$1:$K$20,4,FALSE)</f>
        <v>4.6162453592553296</v>
      </c>
      <c r="J146" s="1">
        <f>VLOOKUP(A146,def_hab!$A$1:$E$210,5,FALSE)</f>
        <v>1.2023662244174199E-2</v>
      </c>
      <c r="K146">
        <f>VLOOKUP(A146,ing_prom!$A$1:$D$229,4,FALSE)</f>
        <v>1002730.34396874</v>
      </c>
    </row>
    <row r="147" spans="1:11" x14ac:dyDescent="0.25">
      <c r="A147" t="str">
        <f t="shared" si="4"/>
        <v>Los Mártires2021</v>
      </c>
      <c r="B147" t="s">
        <v>21</v>
      </c>
      <c r="C147">
        <v>2021</v>
      </c>
      <c r="D147" s="1">
        <f>VLOOKUP(B147,share!$A$1:$C$20,3,FALSE)</f>
        <v>1.5120274914089347E-2</v>
      </c>
      <c r="E147" s="1">
        <f>VLOOKUP(C147,shift!$A$1:$C$15,3,FALSE)</f>
        <v>0.37231823678193687</v>
      </c>
      <c r="F147" s="1">
        <f t="shared" si="5"/>
        <v>5.6295540956718976E-3</v>
      </c>
      <c r="G147" s="2">
        <f>VLOOKUP(A147,migr!$A$1:$H$210,8,FALSE)</f>
        <v>0.25314947793971898</v>
      </c>
      <c r="H147" s="2">
        <f>VLOOKUP(B147,localidades!$B$1:$E$20,3,FALSE)</f>
        <v>-74.087947983810096</v>
      </c>
      <c r="I147" s="2">
        <f>VLOOKUP(B147,localidades!$H$1:$K$20,4,FALSE)</f>
        <v>4.6071559155114903</v>
      </c>
      <c r="J147" s="1">
        <f>VLOOKUP(A147,def_hab!$A$1:$E$210,5,FALSE)</f>
        <v>1.9681903983940801E-2</v>
      </c>
      <c r="K147">
        <f>VLOOKUP(A147,ing_prom!$A$1:$D$229,4,FALSE)</f>
        <v>1138366.06857586</v>
      </c>
    </row>
    <row r="148" spans="1:11" x14ac:dyDescent="0.25">
      <c r="A148" t="str">
        <f t="shared" si="4"/>
        <v>Tunjuelito2021</v>
      </c>
      <c r="B148" t="s">
        <v>16</v>
      </c>
      <c r="C148">
        <v>2021</v>
      </c>
      <c r="D148" s="1">
        <f>VLOOKUP(B148,share!$A$1:$C$20,3,FALSE)</f>
        <v>7.5601374570446736E-3</v>
      </c>
      <c r="E148" s="1">
        <f>VLOOKUP(C148,shift!$A$1:$C$15,3,FALSE)</f>
        <v>0.37231823678193687</v>
      </c>
      <c r="F148" s="1">
        <f t="shared" si="5"/>
        <v>2.8147770478359488E-3</v>
      </c>
      <c r="G148" s="2">
        <f>VLOOKUP(A148,migr!$A$1:$H$210,8,FALSE)</f>
        <v>0.18710001411684099</v>
      </c>
      <c r="H148" s="2">
        <f>VLOOKUP(B148,localidades!$B$1:$E$20,3,FALSE)</f>
        <v>-74.135989244733693</v>
      </c>
      <c r="I148" s="2">
        <f>VLOOKUP(B148,localidades!$H$1:$K$20,4,FALSE)</f>
        <v>4.5748411850953001</v>
      </c>
      <c r="J148" s="1">
        <f>VLOOKUP(A148,def_hab!$A$1:$E$210,5,FALSE)</f>
        <v>3.5716343578951197E-2</v>
      </c>
      <c r="K148">
        <f>VLOOKUP(A148,ing_prom!$A$1:$D$229,4,FALSE)</f>
        <v>902857.08917897602</v>
      </c>
    </row>
    <row r="149" spans="1:11" x14ac:dyDescent="0.25">
      <c r="A149" t="str">
        <f t="shared" si="4"/>
        <v>San Cristóbal2021</v>
      </c>
      <c r="B149" t="s">
        <v>11</v>
      </c>
      <c r="C149">
        <v>2021</v>
      </c>
      <c r="D149" s="1">
        <f>VLOOKUP(B149,share!$A$1:$C$20,3,FALSE)</f>
        <v>2.2508591065292096E-2</v>
      </c>
      <c r="E149" s="1">
        <f>VLOOKUP(C149,shift!$A$1:$C$15,3,FALSE)</f>
        <v>0.37231823678193687</v>
      </c>
      <c r="F149" s="1">
        <f t="shared" si="5"/>
        <v>8.3803589378752107E-3</v>
      </c>
      <c r="G149" s="2">
        <f>VLOOKUP(A149,migr!$A$1:$H$210,8,FALSE)</f>
        <v>0.17481594398146</v>
      </c>
      <c r="H149" s="2">
        <f>VLOOKUP(B149,localidades!$B$1:$E$20,3,FALSE)</f>
        <v>-74.066072400776207</v>
      </c>
      <c r="I149" s="2">
        <f>VLOOKUP(B149,localidades!$H$1:$K$20,4,FALSE)</f>
        <v>4.5487488041769897</v>
      </c>
      <c r="J149" s="1">
        <f>VLOOKUP(A149,def_hab!$A$1:$E$210,5,FALSE)</f>
        <v>4.1701230375017301E-2</v>
      </c>
      <c r="K149">
        <f>VLOOKUP(A149,ing_prom!$A$1:$D$229,4,FALSE)</f>
        <v>815107.072163456</v>
      </c>
    </row>
    <row r="150" spans="1:11" x14ac:dyDescent="0.25">
      <c r="A150" t="str">
        <f t="shared" si="4"/>
        <v>Rafael Uribe2021</v>
      </c>
      <c r="B150" t="s">
        <v>29</v>
      </c>
      <c r="C150">
        <v>2021</v>
      </c>
      <c r="D150" s="1">
        <f>VLOOKUP(B150,share!$A$1:$C$20,3,FALSE)</f>
        <v>1.9243986254295534E-2</v>
      </c>
      <c r="E150" s="1">
        <f>VLOOKUP(C150,shift!$A$1:$C$15,3,FALSE)</f>
        <v>0.37231823678193687</v>
      </c>
      <c r="F150" s="1">
        <f t="shared" si="5"/>
        <v>7.1648870308551431E-3</v>
      </c>
      <c r="G150" s="2">
        <f>VLOOKUP(A150,migr!$A$1:$H$210,8,FALSE)</f>
        <v>0.39218594261605599</v>
      </c>
      <c r="H150" s="2">
        <f>VLOOKUP(B150,localidades!$B$1:$E$20,3,FALSE)</f>
        <v>-74.113363102222095</v>
      </c>
      <c r="I150" s="2">
        <f>VLOOKUP(B150,localidades!$H$1:$K$20,4,FALSE)</f>
        <v>4.5664766672516102</v>
      </c>
      <c r="J150" s="1">
        <f>VLOOKUP(A150,def_hab!$A$1:$E$210,5,FALSE)</f>
        <v>3.7098585778166097E-2</v>
      </c>
      <c r="K150">
        <f>VLOOKUP(A150,ing_prom!$A$1:$D$229,4,FALSE)</f>
        <v>870816.22133148299</v>
      </c>
    </row>
    <row r="151" spans="1:11" x14ac:dyDescent="0.25">
      <c r="A151" t="str">
        <f t="shared" si="4"/>
        <v>Ciudad Bolívar2021</v>
      </c>
      <c r="B151" t="s">
        <v>8</v>
      </c>
      <c r="C151">
        <v>2021</v>
      </c>
      <c r="D151" s="1">
        <f>VLOOKUP(B151,share!$A$1:$C$20,3,FALSE)</f>
        <v>6.7010309278350512E-3</v>
      </c>
      <c r="E151" s="1">
        <f>VLOOKUP(C151,shift!$A$1:$C$15,3,FALSE)</f>
        <v>0.37231823678193687</v>
      </c>
      <c r="F151" s="1">
        <f t="shared" si="5"/>
        <v>2.4949160196727728E-3</v>
      </c>
      <c r="G151" s="2">
        <f>VLOOKUP(A151,migr!$A$1:$H$210,8,FALSE)</f>
        <v>0.64967273056825703</v>
      </c>
      <c r="H151" s="2">
        <f>VLOOKUP(B151,localidades!$B$1:$E$20,3,FALSE)</f>
        <v>-74.161960022510598</v>
      </c>
      <c r="I151" s="2">
        <f>VLOOKUP(B151,localidades!$H$1:$K$20,4,FALSE)</f>
        <v>4.48245576116999</v>
      </c>
      <c r="J151" s="1">
        <f>VLOOKUP(A151,def_hab!$A$1:$E$210,5,FALSE)</f>
        <v>5.5943197754093302E-2</v>
      </c>
      <c r="K151" t="e">
        <f>VLOOKUP(A151,ing_prom!$A$1:$D$229,4,FALSE)</f>
        <v>#N/A</v>
      </c>
    </row>
    <row r="152" spans="1:11" x14ac:dyDescent="0.25">
      <c r="A152" t="str">
        <f t="shared" si="4"/>
        <v>Usme2021</v>
      </c>
      <c r="B152" t="s">
        <v>12</v>
      </c>
      <c r="C152">
        <v>2021</v>
      </c>
      <c r="D152" s="1">
        <f>VLOOKUP(B152,share!$A$1:$C$20,3,FALSE)</f>
        <v>7.2164948453608251E-3</v>
      </c>
      <c r="E152" s="1">
        <f>VLOOKUP(C152,shift!$A$1:$C$15,3,FALSE)</f>
        <v>0.37231823678193687</v>
      </c>
      <c r="F152" s="1">
        <f t="shared" si="5"/>
        <v>2.6868326365706787E-3</v>
      </c>
      <c r="G152" s="2">
        <f>VLOOKUP(A152,migr!$A$1:$H$210,8,FALSE)</f>
        <v>0.370227458579026</v>
      </c>
      <c r="H152" s="2">
        <f>VLOOKUP(B152,localidades!$B$1:$E$20,3,FALSE)</f>
        <v>-74.142812024697704</v>
      </c>
      <c r="I152" s="2">
        <f>VLOOKUP(B152,localidades!$H$1:$K$20,4,FALSE)</f>
        <v>4.3900190318873902</v>
      </c>
      <c r="J152" s="1">
        <f>VLOOKUP(A152,def_hab!$A$1:$E$210,5,FALSE)</f>
        <v>5.4903704156340202E-2</v>
      </c>
      <c r="K152">
        <f>VLOOKUP(A152,ing_prom!$A$1:$D$229,4,FALSE)</f>
        <v>740665.11685368198</v>
      </c>
    </row>
    <row r="153" spans="1:11" x14ac:dyDescent="0.25">
      <c r="A153" t="str">
        <f t="shared" si="4"/>
        <v>Bosa2021</v>
      </c>
      <c r="B153" t="s">
        <v>9</v>
      </c>
      <c r="C153">
        <v>2021</v>
      </c>
      <c r="D153" s="1">
        <f>VLOOKUP(B153,share!$A$1:$C$20,3,FALSE)</f>
        <v>2.5945017182130586E-2</v>
      </c>
      <c r="E153" s="1">
        <f>VLOOKUP(C153,shift!$A$1:$C$15,3,FALSE)</f>
        <v>0.37231823678193687</v>
      </c>
      <c r="F153" s="1">
        <f t="shared" si="5"/>
        <v>9.6598030505279167E-3</v>
      </c>
      <c r="G153" s="2">
        <f>VLOOKUP(A153,migr!$A$1:$H$210,8,FALSE)</f>
        <v>0.63807672955031103</v>
      </c>
      <c r="H153" s="2">
        <f>VLOOKUP(B153,localidades!$B$1:$E$20,3,FALSE)</f>
        <v>-74.194388716263504</v>
      </c>
      <c r="I153" s="2">
        <f>VLOOKUP(B153,localidades!$H$1:$K$20,4,FALSE)</f>
        <v>4.6217797878632698</v>
      </c>
      <c r="J153" s="1">
        <f>VLOOKUP(A153,def_hab!$A$1:$E$210,5,FALSE)</f>
        <v>4.0128546891532897E-2</v>
      </c>
      <c r="K153">
        <f>VLOOKUP(A153,ing_prom!$A$1:$D$229,4,FALSE)</f>
        <v>777812.60084593797</v>
      </c>
    </row>
    <row r="154" spans="1:11" x14ac:dyDescent="0.25">
      <c r="A154" t="str">
        <f t="shared" si="4"/>
        <v>Chapinero2022</v>
      </c>
      <c r="B154" t="s">
        <v>18</v>
      </c>
      <c r="C154">
        <v>2022</v>
      </c>
      <c r="D154" s="1">
        <f>VLOOKUP(B154,share!$A$1:$C$20,3,FALSE)</f>
        <v>0.17577319587628865</v>
      </c>
      <c r="E154" s="1">
        <f>VLOOKUP(C154,shift!$A$1:$C$15,3,FALSE)</f>
        <v>0.74151855970387581</v>
      </c>
      <c r="F154" s="1">
        <f t="shared" si="5"/>
        <v>0.1303390870407328</v>
      </c>
      <c r="G154" s="2">
        <f>VLOOKUP(A154,migr!$A$1:$H$210,8,FALSE)</f>
        <v>0.218388792009717</v>
      </c>
      <c r="H154" s="2">
        <f>VLOOKUP(B154,localidades!$B$1:$E$20,3,FALSE)</f>
        <v>-74.036938848703201</v>
      </c>
      <c r="I154" s="2">
        <f>VLOOKUP(B154,localidades!$H$1:$K$20,4,FALSE)</f>
        <v>4.64492441542754</v>
      </c>
      <c r="J154" s="1">
        <f>VLOOKUP(A154,def_hab!$A$1:$E$210,5,FALSE)</f>
        <v>3.7542276292317099E-3</v>
      </c>
      <c r="K154">
        <f>VLOOKUP(A154,ing_prom!$A$1:$D$229,4,FALSE)</f>
        <v>3566602.5650208499</v>
      </c>
    </row>
    <row r="155" spans="1:11" x14ac:dyDescent="0.25">
      <c r="A155" t="str">
        <f t="shared" si="4"/>
        <v>Teusaquillo2022</v>
      </c>
      <c r="B155" t="s">
        <v>17</v>
      </c>
      <c r="C155">
        <v>2022</v>
      </c>
      <c r="D155" s="1">
        <f>VLOOKUP(B155,share!$A$1:$C$20,3,FALSE)</f>
        <v>0.15068728522336769</v>
      </c>
      <c r="E155" s="1">
        <f>VLOOKUP(C155,shift!$A$1:$C$15,3,FALSE)</f>
        <v>0.74151855970387581</v>
      </c>
      <c r="F155" s="1">
        <f t="shared" si="5"/>
        <v>0.11173741870451874</v>
      </c>
      <c r="G155" s="2">
        <f>VLOOKUP(A155,migr!$A$1:$H$210,8,FALSE)</f>
        <v>0.119305403649172</v>
      </c>
      <c r="H155" s="2">
        <f>VLOOKUP(B155,localidades!$B$1:$E$20,3,FALSE)</f>
        <v>-74.085768890680001</v>
      </c>
      <c r="I155" s="2">
        <f>VLOOKUP(B155,localidades!$H$1:$K$20,4,FALSE)</f>
        <v>4.6411735516069603</v>
      </c>
      <c r="J155" s="1">
        <f>VLOOKUP(A155,def_hab!$A$1:$E$210,5,FALSE)</f>
        <v>2.6997162743668202E-4</v>
      </c>
      <c r="K155">
        <f>VLOOKUP(A155,ing_prom!$A$1:$D$229,4,FALSE)</f>
        <v>3641831.6455896501</v>
      </c>
    </row>
    <row r="156" spans="1:11" x14ac:dyDescent="0.25">
      <c r="A156" t="str">
        <f t="shared" si="4"/>
        <v>Usaquén2022</v>
      </c>
      <c r="B156" t="s">
        <v>10</v>
      </c>
      <c r="C156">
        <v>2022</v>
      </c>
      <c r="D156" s="1">
        <f>VLOOKUP(B156,share!$A$1:$C$20,3,FALSE)</f>
        <v>0.14725085910652921</v>
      </c>
      <c r="E156" s="1">
        <f>VLOOKUP(C156,shift!$A$1:$C$15,3,FALSE)</f>
        <v>0.74151855970387581</v>
      </c>
      <c r="F156" s="1">
        <f t="shared" si="5"/>
        <v>0.10918924495983189</v>
      </c>
      <c r="G156" s="2">
        <f>VLOOKUP(A156,migr!$A$1:$H$210,8,FALSE)</f>
        <v>1.04939332279487</v>
      </c>
      <c r="H156" s="2">
        <f>VLOOKUP(B156,localidades!$B$1:$E$20,3,FALSE)</f>
        <v>-74.027882368779103</v>
      </c>
      <c r="I156" s="2">
        <f>VLOOKUP(B156,localidades!$H$1:$K$20,4,FALSE)</f>
        <v>4.7419260292461196</v>
      </c>
      <c r="J156" s="1">
        <f>VLOOKUP(A156,def_hab!$A$1:$E$210,5,FALSE)</f>
        <v>8.5736337525219204E-3</v>
      </c>
      <c r="K156">
        <f>VLOOKUP(A156,ing_prom!$A$1:$D$229,4,FALSE)</f>
        <v>2544857.22426373</v>
      </c>
    </row>
    <row r="157" spans="1:11" x14ac:dyDescent="0.25">
      <c r="A157" t="str">
        <f t="shared" si="4"/>
        <v>Suba2022</v>
      </c>
      <c r="B157" t="s">
        <v>6</v>
      </c>
      <c r="C157">
        <v>2022</v>
      </c>
      <c r="D157" s="1">
        <f>VLOOKUP(B157,share!$A$1:$C$20,3,FALSE)</f>
        <v>0.10876288659793815</v>
      </c>
      <c r="E157" s="1">
        <f>VLOOKUP(C157,shift!$A$1:$C$15,3,FALSE)</f>
        <v>0.74151855970387581</v>
      </c>
      <c r="F157" s="1">
        <f t="shared" si="5"/>
        <v>8.0649699019339077E-2</v>
      </c>
      <c r="G157" s="2">
        <f>VLOOKUP(A157,migr!$A$1:$H$210,8,FALSE)</f>
        <v>2.0202424937708301</v>
      </c>
      <c r="H157" s="2">
        <f>VLOOKUP(B157,localidades!$B$1:$E$20,3,FALSE)</f>
        <v>-74.075845800487997</v>
      </c>
      <c r="I157" s="2">
        <f>VLOOKUP(B157,localidades!$H$1:$K$20,4,FALSE)</f>
        <v>4.76320652488001</v>
      </c>
      <c r="J157" s="1">
        <f>VLOOKUP(A157,def_hab!$A$1:$E$210,5,FALSE)</f>
        <v>1.7816411413817301E-2</v>
      </c>
      <c r="K157">
        <f>VLOOKUP(A157,ing_prom!$A$1:$D$229,4,FALSE)</f>
        <v>1924150.09285144</v>
      </c>
    </row>
    <row r="158" spans="1:11" x14ac:dyDescent="0.25">
      <c r="A158" t="str">
        <f t="shared" si="4"/>
        <v>Barrios Unidos2022</v>
      </c>
      <c r="B158" t="s">
        <v>15</v>
      </c>
      <c r="C158">
        <v>2022</v>
      </c>
      <c r="D158" s="1">
        <f>VLOOKUP(B158,share!$A$1:$C$20,3,FALSE)</f>
        <v>7.1993127147766317E-2</v>
      </c>
      <c r="E158" s="1">
        <f>VLOOKUP(C158,shift!$A$1:$C$15,3,FALSE)</f>
        <v>0.74151855970387581</v>
      </c>
      <c r="F158" s="1">
        <f t="shared" si="5"/>
        <v>5.3384239951189683E-2</v>
      </c>
      <c r="G158" s="2">
        <f>VLOOKUP(A158,migr!$A$1:$H$210,8,FALSE)</f>
        <v>0.15383582993511899</v>
      </c>
      <c r="H158" s="2">
        <f>VLOOKUP(B158,localidades!$B$1:$E$20,3,FALSE)</f>
        <v>-74.073551677463399</v>
      </c>
      <c r="I158" s="2">
        <f>VLOOKUP(B158,localidades!$H$1:$K$20,4,FALSE)</f>
        <v>4.6695668454366004</v>
      </c>
      <c r="J158" s="1">
        <f>VLOOKUP(A158,def_hab!$A$1:$E$210,5,FALSE)</f>
        <v>6.40888241749133E-3</v>
      </c>
      <c r="K158">
        <f>VLOOKUP(A158,ing_prom!$A$1:$D$229,4,FALSE)</f>
        <v>2127440.2488993998</v>
      </c>
    </row>
    <row r="159" spans="1:11" x14ac:dyDescent="0.25">
      <c r="A159" t="str">
        <f t="shared" si="4"/>
        <v>Engativá2022</v>
      </c>
      <c r="B159" t="s">
        <v>7</v>
      </c>
      <c r="C159">
        <v>2022</v>
      </c>
      <c r="D159" s="1">
        <f>VLOOKUP(B159,share!$A$1:$C$20,3,FALSE)</f>
        <v>6.0309278350515465E-2</v>
      </c>
      <c r="E159" s="1">
        <f>VLOOKUP(C159,shift!$A$1:$C$15,3,FALSE)</f>
        <v>0.74151855970387581</v>
      </c>
      <c r="F159" s="1">
        <f t="shared" si="5"/>
        <v>4.4720449219254367E-2</v>
      </c>
      <c r="G159" s="2">
        <f>VLOOKUP(A159,migr!$A$1:$H$210,8,FALSE)</f>
        <v>1.1388234745802299</v>
      </c>
      <c r="H159" s="2">
        <f>VLOOKUP(B159,localidades!$B$1:$E$20,3,FALSE)</f>
        <v>-74.113187148077898</v>
      </c>
      <c r="I159" s="2">
        <f>VLOOKUP(B159,localidades!$H$1:$K$20,4,FALSE)</f>
        <v>4.70112526984326</v>
      </c>
      <c r="J159" s="1">
        <f>VLOOKUP(A159,def_hab!$A$1:$E$210,5,FALSE)</f>
        <v>1.4050301651822699E-2</v>
      </c>
      <c r="K159">
        <f>VLOOKUP(A159,ing_prom!$A$1:$D$229,4,FALSE)</f>
        <v>1422348.8674141699</v>
      </c>
    </row>
    <row r="160" spans="1:11" x14ac:dyDescent="0.25">
      <c r="A160" t="str">
        <f t="shared" si="4"/>
        <v>Fontibón2022</v>
      </c>
      <c r="B160" t="s">
        <v>13</v>
      </c>
      <c r="C160">
        <v>2022</v>
      </c>
      <c r="D160" s="1">
        <f>VLOOKUP(B160,share!$A$1:$C$20,3,FALSE)</f>
        <v>5.0171821305841927E-2</v>
      </c>
      <c r="E160" s="1">
        <f>VLOOKUP(C160,shift!$A$1:$C$15,3,FALSE)</f>
        <v>0.74151855970387581</v>
      </c>
      <c r="F160" s="1">
        <f t="shared" si="5"/>
        <v>3.7203336672428138E-2</v>
      </c>
      <c r="G160" s="2">
        <f>VLOOKUP(A160,migr!$A$1:$H$210,8,FALSE)</f>
        <v>0.50079043278491697</v>
      </c>
      <c r="H160" s="2">
        <f>VLOOKUP(B160,localidades!$B$1:$E$20,3,FALSE)</f>
        <v>-74.140150765275294</v>
      </c>
      <c r="I160" s="2">
        <f>VLOOKUP(B160,localidades!$H$1:$K$20,4,FALSE)</f>
        <v>4.6781827131162403</v>
      </c>
      <c r="J160" s="1">
        <f>VLOOKUP(A160,def_hab!$A$1:$E$210,5,FALSE)</f>
        <v>1.40206146221683E-2</v>
      </c>
      <c r="K160">
        <f>VLOOKUP(A160,ing_prom!$A$1:$D$229,4,FALSE)</f>
        <v>1799163.9907028801</v>
      </c>
    </row>
    <row r="161" spans="1:11" x14ac:dyDescent="0.25">
      <c r="A161" t="str">
        <f t="shared" si="4"/>
        <v>Kennedy2022</v>
      </c>
      <c r="B161" t="s">
        <v>5</v>
      </c>
      <c r="C161">
        <v>2022</v>
      </c>
      <c r="D161" s="1">
        <f>VLOOKUP(B161,share!$A$1:$C$20,3,FALSE)</f>
        <v>4.6907216494845361E-2</v>
      </c>
      <c r="E161" s="1">
        <f>VLOOKUP(C161,shift!$A$1:$C$15,3,FALSE)</f>
        <v>0.74151855970387581</v>
      </c>
      <c r="F161" s="1">
        <f t="shared" si="5"/>
        <v>3.4782571614975617E-2</v>
      </c>
      <c r="G161" s="2">
        <f>VLOOKUP(A161,migr!$A$1:$H$210,8,FALSE)</f>
        <v>1.7418477820061899</v>
      </c>
      <c r="H161" s="2">
        <f>VLOOKUP(B161,localidades!$B$1:$E$20,3,FALSE)</f>
        <v>-74.152667580564398</v>
      </c>
      <c r="I161" s="2">
        <f>VLOOKUP(B161,localidades!$H$1:$K$20,4,FALSE)</f>
        <v>4.6303471220515098</v>
      </c>
      <c r="J161" s="1">
        <f>VLOOKUP(A161,def_hab!$A$1:$E$210,5,FALSE)</f>
        <v>2.29841163727806E-2</v>
      </c>
      <c r="K161">
        <f>VLOOKUP(A161,ing_prom!$A$1:$D$229,4,FALSE)</f>
        <v>1170518.6479068301</v>
      </c>
    </row>
    <row r="162" spans="1:11" x14ac:dyDescent="0.25">
      <c r="A162" t="str">
        <f t="shared" si="4"/>
        <v>Antonio Nariño2022</v>
      </c>
      <c r="B162" t="s">
        <v>19</v>
      </c>
      <c r="C162">
        <v>2022</v>
      </c>
      <c r="D162" s="1">
        <f>VLOOKUP(B162,share!$A$1:$C$20,3,FALSE)</f>
        <v>2.7663230240549827E-2</v>
      </c>
      <c r="E162" s="1">
        <f>VLOOKUP(C162,shift!$A$1:$C$15,3,FALSE)</f>
        <v>0.74151855970387581</v>
      </c>
      <c r="F162" s="1">
        <f t="shared" si="5"/>
        <v>2.051279864472921E-2</v>
      </c>
      <c r="G162" s="2">
        <f>VLOOKUP(A162,migr!$A$1:$H$210,8,FALSE)</f>
        <v>0.14934496087305299</v>
      </c>
      <c r="H162" s="2">
        <f>VLOOKUP(B162,localidades!$B$1:$E$20,3,FALSE)</f>
        <v>-74.102842336786907</v>
      </c>
      <c r="I162" s="2">
        <f>VLOOKUP(B162,localidades!$H$1:$K$20,4,FALSE)</f>
        <v>4.5887707178273196</v>
      </c>
      <c r="J162" s="1">
        <f>VLOOKUP(A162,def_hab!$A$1:$E$210,5,FALSE)</f>
        <v>1.1694915614038799E-2</v>
      </c>
      <c r="K162">
        <f>VLOOKUP(A162,ing_prom!$A$1:$D$229,4,FALSE)</f>
        <v>1162401.61618703</v>
      </c>
    </row>
    <row r="163" spans="1:11" x14ac:dyDescent="0.25">
      <c r="A163" t="str">
        <f t="shared" si="4"/>
        <v>La Candelaria2022</v>
      </c>
      <c r="B163" t="s">
        <v>22</v>
      </c>
      <c r="C163">
        <v>2022</v>
      </c>
      <c r="D163" s="1">
        <f>VLOOKUP(B163,share!$A$1:$C$20,3,FALSE)</f>
        <v>8.4192439862542951E-3</v>
      </c>
      <c r="E163" s="1">
        <f>VLOOKUP(C163,shift!$A$1:$C$15,3,FALSE)</f>
        <v>0.74151855970387581</v>
      </c>
      <c r="F163" s="1">
        <f t="shared" si="5"/>
        <v>6.2430256744828031E-3</v>
      </c>
      <c r="G163" s="2">
        <f>VLOOKUP(A163,migr!$A$1:$H$210,8,FALSE)</f>
        <v>4.3461743812216798E-2</v>
      </c>
      <c r="H163" s="2">
        <f>VLOOKUP(B163,localidades!$B$1:$E$20,3,FALSE)</f>
        <v>-74.072070819324594</v>
      </c>
      <c r="I163" s="2">
        <f>VLOOKUP(B163,localidades!$H$1:$K$20,4,FALSE)</f>
        <v>4.59660507502144</v>
      </c>
      <c r="J163" s="1">
        <f>VLOOKUP(A163,def_hab!$A$1:$E$210,5,FALSE)</f>
        <v>1.6384388950968201E-3</v>
      </c>
      <c r="K163">
        <f>VLOOKUP(A163,ing_prom!$A$1:$D$229,4,FALSE)</f>
        <v>1721251.8619150801</v>
      </c>
    </row>
    <row r="164" spans="1:11" x14ac:dyDescent="0.25">
      <c r="A164" t="str">
        <f t="shared" si="4"/>
        <v>Santa Fe2022</v>
      </c>
      <c r="B164" t="s">
        <v>20</v>
      </c>
      <c r="C164">
        <v>2022</v>
      </c>
      <c r="D164" s="1">
        <f>VLOOKUP(B164,share!$A$1:$C$20,3,FALSE)</f>
        <v>1.5979381443298968E-2</v>
      </c>
      <c r="E164" s="1">
        <f>VLOOKUP(C164,shift!$A$1:$C$15,3,FALSE)</f>
        <v>0.74151855970387581</v>
      </c>
      <c r="F164" s="1">
        <f t="shared" si="5"/>
        <v>1.1849007912793891E-2</v>
      </c>
      <c r="G164" s="2">
        <f>VLOOKUP(A164,migr!$A$1:$H$210,8,FALSE)</f>
        <v>0.224384104323817</v>
      </c>
      <c r="H164" s="2">
        <f>VLOOKUP(B164,localidades!$B$1:$E$20,3,FALSE)</f>
        <v>-74.0362173927127</v>
      </c>
      <c r="I164" s="2">
        <f>VLOOKUP(B164,localidades!$H$1:$K$20,4,FALSE)</f>
        <v>4.5939727566360302</v>
      </c>
      <c r="J164" s="1">
        <f>VLOOKUP(A164,def_hab!$A$1:$E$210,5,FALSE)</f>
        <v>4.0667794042702002E-2</v>
      </c>
      <c r="K164">
        <f>VLOOKUP(A164,ing_prom!$A$1:$D$229,4,FALSE)</f>
        <v>1341302.2104686699</v>
      </c>
    </row>
    <row r="165" spans="1:11" x14ac:dyDescent="0.25">
      <c r="A165" t="str">
        <f t="shared" si="4"/>
        <v>Puente Aranda2022</v>
      </c>
      <c r="B165" t="s">
        <v>14</v>
      </c>
      <c r="C165">
        <v>2022</v>
      </c>
      <c r="D165" s="1">
        <f>VLOOKUP(B165,share!$A$1:$C$20,3,FALSE)</f>
        <v>3.1786941580756012E-2</v>
      </c>
      <c r="E165" s="1">
        <f>VLOOKUP(C165,shift!$A$1:$C$15,3,FALSE)</f>
        <v>0.74151855970387581</v>
      </c>
      <c r="F165" s="1">
        <f t="shared" si="5"/>
        <v>2.357060713835344E-2</v>
      </c>
      <c r="G165" s="2">
        <f>VLOOKUP(A165,migr!$A$1:$H$210,8,FALSE)</f>
        <v>0.17575918265099499</v>
      </c>
      <c r="H165" s="2">
        <f>VLOOKUP(B165,localidades!$B$1:$E$20,3,FALSE)</f>
        <v>-74.111580402476093</v>
      </c>
      <c r="I165" s="2">
        <f>VLOOKUP(B165,localidades!$H$1:$K$20,4,FALSE)</f>
        <v>4.6162453592553296</v>
      </c>
      <c r="J165" s="1">
        <f>VLOOKUP(A165,def_hab!$A$1:$E$210,5,FALSE)</f>
        <v>1.13734307040396E-2</v>
      </c>
      <c r="K165">
        <f>VLOOKUP(A165,ing_prom!$A$1:$D$229,4,FALSE)</f>
        <v>1128372.4560680201</v>
      </c>
    </row>
    <row r="166" spans="1:11" x14ac:dyDescent="0.25">
      <c r="A166" t="str">
        <f t="shared" si="4"/>
        <v>Los Mártires2022</v>
      </c>
      <c r="B166" t="s">
        <v>21</v>
      </c>
      <c r="C166">
        <v>2022</v>
      </c>
      <c r="D166" s="1">
        <f>VLOOKUP(B166,share!$A$1:$C$20,3,FALSE)</f>
        <v>1.5120274914089347E-2</v>
      </c>
      <c r="E166" s="1">
        <f>VLOOKUP(C166,shift!$A$1:$C$15,3,FALSE)</f>
        <v>0.74151855970387581</v>
      </c>
      <c r="F166" s="1">
        <f t="shared" si="5"/>
        <v>1.1211964476622177E-2</v>
      </c>
      <c r="G166" s="2">
        <f>VLOOKUP(A166,migr!$A$1:$H$210,8,FALSE)</f>
        <v>0.43840864642569399</v>
      </c>
      <c r="H166" s="2">
        <f>VLOOKUP(B166,localidades!$B$1:$E$20,3,FALSE)</f>
        <v>-74.087947983810096</v>
      </c>
      <c r="I166" s="2">
        <f>VLOOKUP(B166,localidades!$H$1:$K$20,4,FALSE)</f>
        <v>4.6071559155114903</v>
      </c>
      <c r="J166" s="1">
        <f>VLOOKUP(A166,def_hab!$A$1:$E$210,5,FALSE)</f>
        <v>1.86175198985962E-2</v>
      </c>
      <c r="K166">
        <f>VLOOKUP(A166,ing_prom!$A$1:$D$229,4,FALSE)</f>
        <v>1281003.3369684201</v>
      </c>
    </row>
    <row r="167" spans="1:11" x14ac:dyDescent="0.25">
      <c r="A167" t="str">
        <f t="shared" si="4"/>
        <v>Tunjuelito2022</v>
      </c>
      <c r="B167" t="s">
        <v>16</v>
      </c>
      <c r="C167">
        <v>2022</v>
      </c>
      <c r="D167" s="1">
        <f>VLOOKUP(B167,share!$A$1:$C$20,3,FALSE)</f>
        <v>7.5601374570446736E-3</v>
      </c>
      <c r="E167" s="1">
        <f>VLOOKUP(C167,shift!$A$1:$C$15,3,FALSE)</f>
        <v>0.74151855970387581</v>
      </c>
      <c r="F167" s="1">
        <f t="shared" si="5"/>
        <v>5.6059822383110886E-3</v>
      </c>
      <c r="G167" s="2">
        <f>VLOOKUP(A167,migr!$A$1:$H$210,8,FALSE)</f>
        <v>0.32402304204919102</v>
      </c>
      <c r="H167" s="2">
        <f>VLOOKUP(B167,localidades!$B$1:$E$20,3,FALSE)</f>
        <v>-74.135989244733693</v>
      </c>
      <c r="I167" s="2">
        <f>VLOOKUP(B167,localidades!$H$1:$K$20,4,FALSE)</f>
        <v>4.5748411850953001</v>
      </c>
      <c r="J167" s="1">
        <f>VLOOKUP(A167,def_hab!$A$1:$E$210,5,FALSE)</f>
        <v>3.3784827820965799E-2</v>
      </c>
      <c r="K167">
        <f>VLOOKUP(A167,ing_prom!$A$1:$D$229,4,FALSE)</f>
        <v>1015985.0824531</v>
      </c>
    </row>
    <row r="168" spans="1:11" x14ac:dyDescent="0.25">
      <c r="A168" t="str">
        <f t="shared" si="4"/>
        <v>San Cristóbal2022</v>
      </c>
      <c r="B168" t="s">
        <v>11</v>
      </c>
      <c r="C168">
        <v>2022</v>
      </c>
      <c r="D168" s="1">
        <f>VLOOKUP(B168,share!$A$1:$C$20,3,FALSE)</f>
        <v>2.2508591065292096E-2</v>
      </c>
      <c r="E168" s="1">
        <f>VLOOKUP(C168,shift!$A$1:$C$15,3,FALSE)</f>
        <v>0.74151855970387581</v>
      </c>
      <c r="F168" s="1">
        <f t="shared" si="5"/>
        <v>1.6690538027698924E-2</v>
      </c>
      <c r="G168" s="2">
        <f>VLOOKUP(A168,migr!$A$1:$H$210,8,FALSE)</f>
        <v>0.30274927682367803</v>
      </c>
      <c r="H168" s="2">
        <f>VLOOKUP(B168,localidades!$B$1:$E$20,3,FALSE)</f>
        <v>-74.066072400776207</v>
      </c>
      <c r="I168" s="2">
        <f>VLOOKUP(B168,localidades!$H$1:$K$20,4,FALSE)</f>
        <v>4.5487488041769897</v>
      </c>
      <c r="J168" s="1">
        <f>VLOOKUP(A168,def_hab!$A$1:$E$210,5,FALSE)</f>
        <v>3.9446055977932902E-2</v>
      </c>
      <c r="K168">
        <f>VLOOKUP(A168,ing_prom!$A$1:$D$229,4,FALSE)</f>
        <v>917239.98830553703</v>
      </c>
    </row>
    <row r="169" spans="1:11" x14ac:dyDescent="0.25">
      <c r="A169" t="str">
        <f t="shared" si="4"/>
        <v>Rafael Uribe2022</v>
      </c>
      <c r="B169" t="s">
        <v>29</v>
      </c>
      <c r="C169">
        <v>2022</v>
      </c>
      <c r="D169" s="1">
        <f>VLOOKUP(B169,share!$A$1:$C$20,3,FALSE)</f>
        <v>1.9243986254295534E-2</v>
      </c>
      <c r="E169" s="1">
        <f>VLOOKUP(C169,shift!$A$1:$C$15,3,FALSE)</f>
        <v>0.74151855970387581</v>
      </c>
      <c r="F169" s="1">
        <f t="shared" si="5"/>
        <v>1.4269772970246408E-2</v>
      </c>
      <c r="G169" s="2">
        <f>VLOOKUP(A169,migr!$A$1:$H$210,8,FALSE)</f>
        <v>0.67919440185625102</v>
      </c>
      <c r="H169" s="2">
        <f>VLOOKUP(B169,localidades!$B$1:$E$20,3,FALSE)</f>
        <v>-74.113363102222095</v>
      </c>
      <c r="I169" s="2">
        <f>VLOOKUP(B169,localidades!$H$1:$K$20,4,FALSE)</f>
        <v>4.5664766672516102</v>
      </c>
      <c r="J169" s="1">
        <f>VLOOKUP(A169,def_hab!$A$1:$E$210,5,FALSE)</f>
        <v>3.5092319294837498E-2</v>
      </c>
      <c r="K169">
        <f>VLOOKUP(A169,ing_prom!$A$1:$D$229,4,FALSE)</f>
        <v>979929.49386431801</v>
      </c>
    </row>
    <row r="170" spans="1:11" x14ac:dyDescent="0.25">
      <c r="A170" t="str">
        <f t="shared" si="4"/>
        <v>Ciudad Bolívar2022</v>
      </c>
      <c r="B170" t="s">
        <v>8</v>
      </c>
      <c r="C170">
        <v>2022</v>
      </c>
      <c r="D170" s="1">
        <f>VLOOKUP(B170,share!$A$1:$C$20,3,FALSE)</f>
        <v>6.7010309278350512E-3</v>
      </c>
      <c r="E170" s="1">
        <f>VLOOKUP(C170,shift!$A$1:$C$15,3,FALSE)</f>
        <v>0.74151855970387581</v>
      </c>
      <c r="F170" s="1">
        <f t="shared" si="5"/>
        <v>4.968938802139374E-3</v>
      </c>
      <c r="G170" s="2">
        <f>VLOOKUP(A170,migr!$A$1:$H$210,8,FALSE)</f>
        <v>1.1251144768149099</v>
      </c>
      <c r="H170" s="2">
        <f>VLOOKUP(B170,localidades!$B$1:$E$20,3,FALSE)</f>
        <v>-74.161960022510598</v>
      </c>
      <c r="I170" s="2">
        <f>VLOOKUP(B170,localidades!$H$1:$K$20,4,FALSE)</f>
        <v>4.48245576116999</v>
      </c>
      <c r="J170" s="1">
        <f>VLOOKUP(A170,def_hab!$A$1:$E$210,5,FALSE)</f>
        <v>5.2917827372176499E-2</v>
      </c>
      <c r="K170" t="e">
        <f>VLOOKUP(A170,ing_prom!$A$1:$D$229,4,FALSE)</f>
        <v>#N/A</v>
      </c>
    </row>
    <row r="171" spans="1:11" x14ac:dyDescent="0.25">
      <c r="A171" t="str">
        <f t="shared" si="4"/>
        <v>Usme2022</v>
      </c>
      <c r="B171" t="s">
        <v>12</v>
      </c>
      <c r="C171">
        <v>2022</v>
      </c>
      <c r="D171" s="1">
        <f>VLOOKUP(B171,share!$A$1:$C$20,3,FALSE)</f>
        <v>7.2164948453608251E-3</v>
      </c>
      <c r="E171" s="1">
        <f>VLOOKUP(C171,shift!$A$1:$C$15,3,FALSE)</f>
        <v>0.74151855970387581</v>
      </c>
      <c r="F171" s="1">
        <f t="shared" si="5"/>
        <v>5.3511648638424033E-3</v>
      </c>
      <c r="G171" s="2">
        <f>VLOOKUP(A171,migr!$A$1:$H$210,8,FALSE)</f>
        <v>0.641166319228616</v>
      </c>
      <c r="H171" s="2">
        <f>VLOOKUP(B171,localidades!$B$1:$E$20,3,FALSE)</f>
        <v>-74.142812024697704</v>
      </c>
      <c r="I171" s="2">
        <f>VLOOKUP(B171,localidades!$H$1:$K$20,4,FALSE)</f>
        <v>4.3900190318873902</v>
      </c>
      <c r="J171" s="1">
        <f>VLOOKUP(A171,def_hab!$A$1:$E$210,5,FALSE)</f>
        <v>5.19345488866996E-2</v>
      </c>
      <c r="K171">
        <f>VLOOKUP(A171,ing_prom!$A$1:$D$229,4,FALSE)</f>
        <v>833470.45599544805</v>
      </c>
    </row>
    <row r="172" spans="1:11" x14ac:dyDescent="0.25">
      <c r="A172" t="str">
        <f t="shared" si="4"/>
        <v>Bosa2022</v>
      </c>
      <c r="B172" t="s">
        <v>9</v>
      </c>
      <c r="C172">
        <v>2022</v>
      </c>
      <c r="D172" s="1">
        <f>VLOOKUP(B172,share!$A$1:$C$20,3,FALSE)</f>
        <v>2.5945017182130586E-2</v>
      </c>
      <c r="E172" s="1">
        <f>VLOOKUP(C172,shift!$A$1:$C$15,3,FALSE)</f>
        <v>0.74151855970387581</v>
      </c>
      <c r="F172" s="1">
        <f t="shared" si="5"/>
        <v>1.9238711772385782E-2</v>
      </c>
      <c r="G172" s="2">
        <f>VLOOKUP(A172,migr!$A$1:$H$210,8,FALSE)</f>
        <v>1.1050323215933999</v>
      </c>
      <c r="H172" s="2">
        <f>VLOOKUP(B172,localidades!$B$1:$E$20,3,FALSE)</f>
        <v>-74.194388716263504</v>
      </c>
      <c r="I172" s="2">
        <f>VLOOKUP(B172,localidades!$H$1:$K$20,4,FALSE)</f>
        <v>4.6217797878632698</v>
      </c>
      <c r="J172" s="1">
        <f>VLOOKUP(A172,def_hab!$A$1:$E$210,5,FALSE)</f>
        <v>3.7958422155927901E-2</v>
      </c>
      <c r="K172">
        <f>VLOOKUP(A172,ing_prom!$A$1:$D$229,4,FALSE)</f>
        <v>875272.51973193395</v>
      </c>
    </row>
    <row r="173" spans="1:11" x14ac:dyDescent="0.25">
      <c r="A173" t="str">
        <f t="shared" si="4"/>
        <v>Chapinero2023</v>
      </c>
      <c r="B173" t="s">
        <v>18</v>
      </c>
      <c r="C173">
        <v>2023</v>
      </c>
      <c r="D173" s="1">
        <f>VLOOKUP(B173,share!$A$1:$C$20,3,FALSE)</f>
        <v>0.17577319587628865</v>
      </c>
      <c r="E173" s="1">
        <f>VLOOKUP(C173,shift!$A$1:$C$15,3,FALSE)</f>
        <v>3.4780879574905166E-2</v>
      </c>
      <c r="F173" s="1">
        <f t="shared" si="5"/>
        <v>6.1135463582694125E-3</v>
      </c>
      <c r="G173" s="2">
        <f>VLOOKUP(A173,migr!$A$1:$H$210,8,FALSE)</f>
        <v>0.22500511860274999</v>
      </c>
      <c r="H173" s="2">
        <f>VLOOKUP(B173,localidades!$B$1:$E$20,3,FALSE)</f>
        <v>-74.036938848703201</v>
      </c>
      <c r="I173" s="2">
        <f>VLOOKUP(B173,localidades!$H$1:$K$20,4,FALSE)</f>
        <v>4.64492441542754</v>
      </c>
      <c r="J173" s="1">
        <f>VLOOKUP(A173,def_hab!$A$1:$E$210,5,FALSE)</f>
        <v>3.5462665460450501E-3</v>
      </c>
      <c r="K173">
        <f>VLOOKUP(A173,ing_prom!$A$1:$D$229,4,FALSE)</f>
        <v>3928612.72537047</v>
      </c>
    </row>
    <row r="174" spans="1:11" x14ac:dyDescent="0.25">
      <c r="A174" t="str">
        <f t="shared" si="4"/>
        <v>Teusaquillo2023</v>
      </c>
      <c r="B174" t="s">
        <v>17</v>
      </c>
      <c r="C174">
        <v>2023</v>
      </c>
      <c r="D174" s="1">
        <f>VLOOKUP(B174,share!$A$1:$C$20,3,FALSE)</f>
        <v>0.15068728522336769</v>
      </c>
      <c r="E174" s="1">
        <f>VLOOKUP(C174,shift!$A$1:$C$15,3,FALSE)</f>
        <v>3.4780879574905166E-2</v>
      </c>
      <c r="F174" s="1">
        <f t="shared" si="5"/>
        <v>5.2410363208233385E-3</v>
      </c>
      <c r="G174" s="2">
        <f>VLOOKUP(A174,migr!$A$1:$H$210,8,FALSE)</f>
        <v>0.122919890947684</v>
      </c>
      <c r="H174" s="2">
        <f>VLOOKUP(B174,localidades!$B$1:$E$20,3,FALSE)</f>
        <v>-74.085768890680001</v>
      </c>
      <c r="I174" s="2">
        <f>VLOOKUP(B174,localidades!$H$1:$K$20,4,FALSE)</f>
        <v>4.6411735516069603</v>
      </c>
      <c r="J174" s="1">
        <f>VLOOKUP(A174,def_hab!$A$1:$E$210,5,FALSE)</f>
        <v>2.5501686240479E-4</v>
      </c>
      <c r="K174">
        <f>VLOOKUP(A174,ing_prom!$A$1:$D$229,4,FALSE)</f>
        <v>4011477.5576169998</v>
      </c>
    </row>
    <row r="175" spans="1:11" x14ac:dyDescent="0.25">
      <c r="A175" t="str">
        <f t="shared" si="4"/>
        <v>Usaquén2023</v>
      </c>
      <c r="B175" t="s">
        <v>10</v>
      </c>
      <c r="C175">
        <v>2023</v>
      </c>
      <c r="D175" s="1">
        <f>VLOOKUP(B175,share!$A$1:$C$20,3,FALSE)</f>
        <v>0.14725085910652921</v>
      </c>
      <c r="E175" s="1">
        <f>VLOOKUP(C175,shift!$A$1:$C$15,3,FALSE)</f>
        <v>3.4780879574905166E-2</v>
      </c>
      <c r="F175" s="1">
        <f t="shared" si="5"/>
        <v>5.1215143978855203E-3</v>
      </c>
      <c r="G175" s="2">
        <f>VLOOKUP(A175,migr!$A$1:$H$210,8,FALSE)</f>
        <v>1.08118583780567</v>
      </c>
      <c r="H175" s="2">
        <f>VLOOKUP(B175,localidades!$B$1:$E$20,3,FALSE)</f>
        <v>-74.027882368779103</v>
      </c>
      <c r="I175" s="2">
        <f>VLOOKUP(B175,localidades!$H$1:$K$20,4,FALSE)</f>
        <v>4.7419260292461196</v>
      </c>
      <c r="J175" s="1">
        <f>VLOOKUP(A175,def_hab!$A$1:$E$210,5,FALSE)</f>
        <v>8.0987072594831799E-3</v>
      </c>
      <c r="K175">
        <f>VLOOKUP(A175,ing_prom!$A$1:$D$229,4,FALSE)</f>
        <v>2803160.2325264998</v>
      </c>
    </row>
    <row r="176" spans="1:11" x14ac:dyDescent="0.25">
      <c r="A176" t="str">
        <f t="shared" si="4"/>
        <v>Suba2023</v>
      </c>
      <c r="B176" t="s">
        <v>6</v>
      </c>
      <c r="C176">
        <v>2023</v>
      </c>
      <c r="D176" s="1">
        <f>VLOOKUP(B176,share!$A$1:$C$20,3,FALSE)</f>
        <v>0.10876288659793815</v>
      </c>
      <c r="E176" s="1">
        <f>VLOOKUP(C176,shift!$A$1:$C$15,3,FALSE)</f>
        <v>3.4780879574905166E-2</v>
      </c>
      <c r="F176" s="1">
        <f t="shared" si="5"/>
        <v>3.7828688609819537E-3</v>
      </c>
      <c r="G176" s="2">
        <f>VLOOKUP(A176,migr!$A$1:$H$210,8,FALSE)</f>
        <v>2.0814479430656498</v>
      </c>
      <c r="H176" s="2">
        <f>VLOOKUP(B176,localidades!$B$1:$E$20,3,FALSE)</f>
        <v>-74.075845800487997</v>
      </c>
      <c r="I176" s="2">
        <f>VLOOKUP(B176,localidades!$H$1:$K$20,4,FALSE)</f>
        <v>4.76320652488001</v>
      </c>
      <c r="J176" s="1">
        <f>VLOOKUP(A176,def_hab!$A$1:$E$210,5,FALSE)</f>
        <v>1.68294919773752E-2</v>
      </c>
      <c r="K176">
        <f>VLOOKUP(A176,ing_prom!$A$1:$D$229,4,FALSE)</f>
        <v>2119451.3272758601</v>
      </c>
    </row>
    <row r="177" spans="1:11" x14ac:dyDescent="0.25">
      <c r="A177" t="str">
        <f t="shared" si="4"/>
        <v>Barrios Unidos2023</v>
      </c>
      <c r="B177" t="s">
        <v>15</v>
      </c>
      <c r="C177">
        <v>2023</v>
      </c>
      <c r="D177" s="1">
        <f>VLOOKUP(B177,share!$A$1:$C$20,3,FALSE)</f>
        <v>7.1993127147766317E-2</v>
      </c>
      <c r="E177" s="1">
        <f>VLOOKUP(C177,shift!$A$1:$C$15,3,FALSE)</f>
        <v>3.4780879574905166E-2</v>
      </c>
      <c r="F177" s="1">
        <f t="shared" si="5"/>
        <v>2.5039842855472962E-3</v>
      </c>
      <c r="G177" s="2">
        <f>VLOOKUP(A177,migr!$A$1:$H$210,8,FALSE)</f>
        <v>0.15849645415119901</v>
      </c>
      <c r="H177" s="2">
        <f>VLOOKUP(B177,localidades!$B$1:$E$20,3,FALSE)</f>
        <v>-74.073551677463399</v>
      </c>
      <c r="I177" s="2">
        <f>VLOOKUP(B177,localidades!$H$1:$K$20,4,FALSE)</f>
        <v>4.6695668454366004</v>
      </c>
      <c r="J177" s="1">
        <f>VLOOKUP(A177,def_hab!$A$1:$E$210,5,FALSE)</f>
        <v>6.0538698127201602E-3</v>
      </c>
      <c r="K177">
        <f>VLOOKUP(A177,ing_prom!$A$1:$D$229,4,FALSE)</f>
        <v>2343375.4341626898</v>
      </c>
    </row>
    <row r="178" spans="1:11" x14ac:dyDescent="0.25">
      <c r="A178" t="str">
        <f t="shared" si="4"/>
        <v>Engativá2023</v>
      </c>
      <c r="B178" t="s">
        <v>7</v>
      </c>
      <c r="C178">
        <v>2023</v>
      </c>
      <c r="D178" s="1">
        <f>VLOOKUP(B178,share!$A$1:$C$20,3,FALSE)</f>
        <v>6.0309278350515465E-2</v>
      </c>
      <c r="E178" s="1">
        <f>VLOOKUP(C178,shift!$A$1:$C$15,3,FALSE)</f>
        <v>3.4780879574905166E-2</v>
      </c>
      <c r="F178" s="1">
        <f t="shared" si="5"/>
        <v>2.0976097475587136E-3</v>
      </c>
      <c r="G178" s="2">
        <f>VLOOKUP(A178,migr!$A$1:$H$210,8,FALSE)</f>
        <v>1.17332537355726</v>
      </c>
      <c r="H178" s="2">
        <f>VLOOKUP(B178,localidades!$B$1:$E$20,3,FALSE)</f>
        <v>-74.113187148077898</v>
      </c>
      <c r="I178" s="2">
        <f>VLOOKUP(B178,localidades!$H$1:$K$20,4,FALSE)</f>
        <v>4.70112526984326</v>
      </c>
      <c r="J178" s="1">
        <f>VLOOKUP(A178,def_hab!$A$1:$E$210,5,FALSE)</f>
        <v>1.3272001495523799E-2</v>
      </c>
      <c r="K178">
        <f>VLOOKUP(A178,ing_prom!$A$1:$D$229,4,FALSE)</f>
        <v>1566717.2774567001</v>
      </c>
    </row>
    <row r="179" spans="1:11" x14ac:dyDescent="0.25">
      <c r="A179" t="str">
        <f t="shared" si="4"/>
        <v>Fontibón2023</v>
      </c>
      <c r="B179" t="s">
        <v>13</v>
      </c>
      <c r="C179">
        <v>2023</v>
      </c>
      <c r="D179" s="1">
        <f>VLOOKUP(B179,share!$A$1:$C$20,3,FALSE)</f>
        <v>5.0171821305841927E-2</v>
      </c>
      <c r="E179" s="1">
        <f>VLOOKUP(C179,shift!$A$1:$C$15,3,FALSE)</f>
        <v>3.4780879574905166E-2</v>
      </c>
      <c r="F179" s="1">
        <f t="shared" si="5"/>
        <v>1.7450200748921492E-3</v>
      </c>
      <c r="G179" s="2">
        <f>VLOOKUP(A179,migr!$A$1:$H$210,8,FALSE)</f>
        <v>0.51596242502627498</v>
      </c>
      <c r="H179" s="2">
        <f>VLOOKUP(B179,localidades!$B$1:$E$20,3,FALSE)</f>
        <v>-74.140150765275294</v>
      </c>
      <c r="I179" s="2">
        <f>VLOOKUP(B179,localidades!$H$1:$K$20,4,FALSE)</f>
        <v>4.6781827131162403</v>
      </c>
      <c r="J179" s="1">
        <f>VLOOKUP(A179,def_hab!$A$1:$E$210,5,FALSE)</f>
        <v>1.32439589444289E-2</v>
      </c>
      <c r="K179">
        <f>VLOOKUP(A179,ing_prom!$A$1:$D$229,4,FALSE)</f>
        <v>1981779.13575922</v>
      </c>
    </row>
    <row r="180" spans="1:11" x14ac:dyDescent="0.25">
      <c r="A180" t="str">
        <f t="shared" si="4"/>
        <v>Kennedy2023</v>
      </c>
      <c r="B180" t="s">
        <v>5</v>
      </c>
      <c r="C180">
        <v>2023</v>
      </c>
      <c r="D180" s="1">
        <f>VLOOKUP(B180,share!$A$1:$C$20,3,FALSE)</f>
        <v>4.6907216494845361E-2</v>
      </c>
      <c r="E180" s="1">
        <f>VLOOKUP(C180,shift!$A$1:$C$15,3,FALSE)</f>
        <v>3.4780879574905166E-2</v>
      </c>
      <c r="F180" s="1">
        <f t="shared" si="5"/>
        <v>1.6314742481012216E-3</v>
      </c>
      <c r="G180" s="2">
        <f>VLOOKUP(A180,migr!$A$1:$H$210,8,FALSE)</f>
        <v>1.79461895993637</v>
      </c>
      <c r="H180" s="2">
        <f>VLOOKUP(B180,localidades!$B$1:$E$20,3,FALSE)</f>
        <v>-74.152667580564398</v>
      </c>
      <c r="I180" s="2">
        <f>VLOOKUP(B180,localidades!$H$1:$K$20,4,FALSE)</f>
        <v>4.6303471220515098</v>
      </c>
      <c r="J180" s="1">
        <f>VLOOKUP(A180,def_hab!$A$1:$E$210,5,FALSE)</f>
        <v>2.1710937916643702E-2</v>
      </c>
      <c r="K180">
        <f>VLOOKUP(A180,ing_prom!$A$1:$D$229,4,FALSE)</f>
        <v>1289326.29066937</v>
      </c>
    </row>
    <row r="181" spans="1:11" x14ac:dyDescent="0.25">
      <c r="A181" t="str">
        <f t="shared" si="4"/>
        <v>Antonio Nariño2023</v>
      </c>
      <c r="B181" t="s">
        <v>19</v>
      </c>
      <c r="C181">
        <v>2023</v>
      </c>
      <c r="D181" s="1">
        <f>VLOOKUP(B181,share!$A$1:$C$20,3,FALSE)</f>
        <v>2.7663230240549827E-2</v>
      </c>
      <c r="E181" s="1">
        <f>VLOOKUP(C181,shift!$A$1:$C$15,3,FALSE)</f>
        <v>3.4780879574905166E-2</v>
      </c>
      <c r="F181" s="1">
        <f t="shared" si="5"/>
        <v>9.621514796494384E-4</v>
      </c>
      <c r="G181" s="2">
        <f>VLOOKUP(A181,migr!$A$1:$H$210,8,FALSE)</f>
        <v>0.15386952931389</v>
      </c>
      <c r="H181" s="2">
        <f>VLOOKUP(B181,localidades!$B$1:$E$20,3,FALSE)</f>
        <v>-74.102842336786907</v>
      </c>
      <c r="I181" s="2">
        <f>VLOOKUP(B181,localidades!$H$1:$K$20,4,FALSE)</f>
        <v>4.5887707178273196</v>
      </c>
      <c r="J181" s="1">
        <f>VLOOKUP(A181,def_hab!$A$1:$E$210,5,FALSE)</f>
        <v>1.1047089334157699E-2</v>
      </c>
      <c r="K181">
        <f>VLOOKUP(A181,ing_prom!$A$1:$D$229,4,FALSE)</f>
        <v>1280385.38023002</v>
      </c>
    </row>
    <row r="182" spans="1:11" x14ac:dyDescent="0.25">
      <c r="A182" t="str">
        <f t="shared" si="4"/>
        <v>La Candelaria2023</v>
      </c>
      <c r="B182" t="s">
        <v>22</v>
      </c>
      <c r="C182">
        <v>2023</v>
      </c>
      <c r="D182" s="1">
        <f>VLOOKUP(B182,share!$A$1:$C$20,3,FALSE)</f>
        <v>8.4192439862542951E-3</v>
      </c>
      <c r="E182" s="1">
        <f>VLOOKUP(C182,shift!$A$1:$C$15,3,FALSE)</f>
        <v>3.4780879574905166E-2</v>
      </c>
      <c r="F182" s="1">
        <f t="shared" si="5"/>
        <v>2.9282871119765515E-4</v>
      </c>
      <c r="G182" s="2">
        <f>VLOOKUP(A182,migr!$A$1:$H$210,8,FALSE)</f>
        <v>4.4778464733277297E-2</v>
      </c>
      <c r="H182" s="2">
        <f>VLOOKUP(B182,localidades!$B$1:$E$20,3,FALSE)</f>
        <v>-74.072070819324594</v>
      </c>
      <c r="I182" s="2">
        <f>VLOOKUP(B182,localidades!$H$1:$K$20,4,FALSE)</f>
        <v>4.59660507502144</v>
      </c>
      <c r="J182" s="1">
        <f>VLOOKUP(A182,def_hab!$A$1:$E$210,5,FALSE)</f>
        <v>1.5476794737163901E-3</v>
      </c>
      <c r="K182">
        <f>VLOOKUP(A182,ing_prom!$A$1:$D$229,4,FALSE)</f>
        <v>1895958.92589946</v>
      </c>
    </row>
    <row r="183" spans="1:11" x14ac:dyDescent="0.25">
      <c r="A183" t="str">
        <f t="shared" si="4"/>
        <v>Santa Fe2023</v>
      </c>
      <c r="B183" t="s">
        <v>20</v>
      </c>
      <c r="C183">
        <v>2023</v>
      </c>
      <c r="D183" s="1">
        <f>VLOOKUP(B183,share!$A$1:$C$20,3,FALSE)</f>
        <v>1.5979381443298968E-2</v>
      </c>
      <c r="E183" s="1">
        <f>VLOOKUP(C183,shift!$A$1:$C$15,3,FALSE)</f>
        <v>3.4780879574905166E-2</v>
      </c>
      <c r="F183" s="1">
        <f t="shared" si="5"/>
        <v>5.5577694166085575E-4</v>
      </c>
      <c r="G183" s="2">
        <f>VLOOKUP(A183,migr!$A$1:$H$210,8,FALSE)</f>
        <v>0.23118206544091199</v>
      </c>
      <c r="H183" s="2">
        <f>VLOOKUP(B183,localidades!$B$1:$E$20,3,FALSE)</f>
        <v>-74.0362173927127</v>
      </c>
      <c r="I183" s="2">
        <f>VLOOKUP(B183,localidades!$H$1:$K$20,4,FALSE)</f>
        <v>4.5939727566360302</v>
      </c>
      <c r="J183" s="1">
        <f>VLOOKUP(A183,def_hab!$A$1:$E$210,5,FALSE)</f>
        <v>3.8415048781844402E-2</v>
      </c>
      <c r="K183">
        <f>VLOOKUP(A183,ing_prom!$A$1:$D$229,4,FALSE)</f>
        <v>1477444.3848312399</v>
      </c>
    </row>
    <row r="184" spans="1:11" x14ac:dyDescent="0.25">
      <c r="A184" t="str">
        <f t="shared" si="4"/>
        <v>Puente Aranda2023</v>
      </c>
      <c r="B184" t="s">
        <v>14</v>
      </c>
      <c r="C184">
        <v>2023</v>
      </c>
      <c r="D184" s="1">
        <f>VLOOKUP(B184,share!$A$1:$C$20,3,FALSE)</f>
        <v>3.1786941580756012E-2</v>
      </c>
      <c r="E184" s="1">
        <f>VLOOKUP(C184,shift!$A$1:$C$15,3,FALSE)</f>
        <v>3.4780879574905166E-2</v>
      </c>
      <c r="F184" s="1">
        <f t="shared" si="5"/>
        <v>1.1055777871748205E-3</v>
      </c>
      <c r="G184" s="2">
        <f>VLOOKUP(A184,migr!$A$1:$H$210,8,FALSE)</f>
        <v>0.18108399874362499</v>
      </c>
      <c r="H184" s="2">
        <f>VLOOKUP(B184,localidades!$B$1:$E$20,3,FALSE)</f>
        <v>-74.111580402476093</v>
      </c>
      <c r="I184" s="2">
        <f>VLOOKUP(B184,localidades!$H$1:$K$20,4,FALSE)</f>
        <v>4.6162453592553296</v>
      </c>
      <c r="J184" s="1">
        <f>VLOOKUP(A184,def_hab!$A$1:$E$210,5,FALSE)</f>
        <v>1.0743412707702901E-2</v>
      </c>
      <c r="K184">
        <f>VLOOKUP(A184,ing_prom!$A$1:$D$229,4,FALSE)</f>
        <v>1242902.2603589301</v>
      </c>
    </row>
    <row r="185" spans="1:11" x14ac:dyDescent="0.25">
      <c r="A185" t="str">
        <f t="shared" si="4"/>
        <v>Los Mártires2023</v>
      </c>
      <c r="B185" t="s">
        <v>21</v>
      </c>
      <c r="C185">
        <v>2023</v>
      </c>
      <c r="D185" s="1">
        <f>VLOOKUP(B185,share!$A$1:$C$20,3,FALSE)</f>
        <v>1.5120274914089347E-2</v>
      </c>
      <c r="E185" s="1">
        <f>VLOOKUP(C185,shift!$A$1:$C$15,3,FALSE)</f>
        <v>3.4780879574905166E-2</v>
      </c>
      <c r="F185" s="1">
        <f t="shared" si="5"/>
        <v>5.2589646092640109E-4</v>
      </c>
      <c r="G185" s="2">
        <f>VLOOKUP(A185,migr!$A$1:$H$210,8,FALSE)</f>
        <v>0.45169071442592601</v>
      </c>
      <c r="H185" s="2">
        <f>VLOOKUP(B185,localidades!$B$1:$E$20,3,FALSE)</f>
        <v>-74.087947983810096</v>
      </c>
      <c r="I185" s="2">
        <f>VLOOKUP(B185,localidades!$H$1:$K$20,4,FALSE)</f>
        <v>4.6071559155114903</v>
      </c>
      <c r="J185" s="1">
        <f>VLOOKUP(A185,def_hab!$A$1:$E$210,5,FALSE)</f>
        <v>1.7586223987230899E-2</v>
      </c>
      <c r="K185">
        <f>VLOOKUP(A185,ing_prom!$A$1:$D$229,4,FALSE)</f>
        <v>1411025.1756707099</v>
      </c>
    </row>
    <row r="186" spans="1:11" x14ac:dyDescent="0.25">
      <c r="A186" t="str">
        <f t="shared" si="4"/>
        <v>Tunjuelito2023</v>
      </c>
      <c r="B186" t="s">
        <v>16</v>
      </c>
      <c r="C186">
        <v>2023</v>
      </c>
      <c r="D186" s="1">
        <f>VLOOKUP(B186,share!$A$1:$C$20,3,FALSE)</f>
        <v>7.5601374570446736E-3</v>
      </c>
      <c r="E186" s="1">
        <f>VLOOKUP(C186,shift!$A$1:$C$15,3,FALSE)</f>
        <v>3.4780879574905166E-2</v>
      </c>
      <c r="F186" s="1">
        <f t="shared" si="5"/>
        <v>2.6294823046320054E-4</v>
      </c>
      <c r="G186" s="2">
        <f>VLOOKUP(A186,migr!$A$1:$H$210,8,FALSE)</f>
        <v>0.33383967343460502</v>
      </c>
      <c r="H186" s="2">
        <f>VLOOKUP(B186,localidades!$B$1:$E$20,3,FALSE)</f>
        <v>-74.135989244733693</v>
      </c>
      <c r="I186" s="2">
        <f>VLOOKUP(B186,localidades!$H$1:$K$20,4,FALSE)</f>
        <v>4.5748411850953001</v>
      </c>
      <c r="J186" s="1">
        <f>VLOOKUP(A186,def_hab!$A$1:$E$210,5,FALSE)</f>
        <v>3.1913356487097699E-2</v>
      </c>
      <c r="K186">
        <f>VLOOKUP(A186,ing_prom!$A$1:$D$229,4,FALSE)</f>
        <v>1119107.56832209</v>
      </c>
    </row>
    <row r="187" spans="1:11" x14ac:dyDescent="0.25">
      <c r="A187" t="str">
        <f t="shared" si="4"/>
        <v>San Cristóbal2023</v>
      </c>
      <c r="B187" t="s">
        <v>11</v>
      </c>
      <c r="C187">
        <v>2023</v>
      </c>
      <c r="D187" s="1">
        <f>VLOOKUP(B187,share!$A$1:$C$20,3,FALSE)</f>
        <v>2.2508591065292096E-2</v>
      </c>
      <c r="E187" s="1">
        <f>VLOOKUP(C187,shift!$A$1:$C$15,3,FALSE)</f>
        <v>3.4780879574905166E-2</v>
      </c>
      <c r="F187" s="1">
        <f t="shared" si="5"/>
        <v>7.8286859524271074E-4</v>
      </c>
      <c r="G187" s="2">
        <f>VLOOKUP(A187,migr!$A$1:$H$210,8,FALSE)</f>
        <v>0.31192139629389698</v>
      </c>
      <c r="H187" s="2">
        <f>VLOOKUP(B187,localidades!$B$1:$E$20,3,FALSE)</f>
        <v>-74.066072400776207</v>
      </c>
      <c r="I187" s="2">
        <f>VLOOKUP(B187,localidades!$H$1:$K$20,4,FALSE)</f>
        <v>4.5487488041769897</v>
      </c>
      <c r="J187" s="1">
        <f>VLOOKUP(A187,def_hab!$A$1:$E$210,5,FALSE)</f>
        <v>3.7260987479491497E-2</v>
      </c>
      <c r="K187">
        <f>VLOOKUP(A187,ing_prom!$A$1:$D$229,4,FALSE)</f>
        <v>1010339.84711855</v>
      </c>
    </row>
    <row r="188" spans="1:11" x14ac:dyDescent="0.25">
      <c r="A188" t="str">
        <f t="shared" si="4"/>
        <v>Rafael Uribe2023</v>
      </c>
      <c r="B188" t="s">
        <v>29</v>
      </c>
      <c r="C188">
        <v>2023</v>
      </c>
      <c r="D188" s="1">
        <f>VLOOKUP(B188,share!$A$1:$C$20,3,FALSE)</f>
        <v>1.9243986254295534E-2</v>
      </c>
      <c r="E188" s="1">
        <f>VLOOKUP(C188,shift!$A$1:$C$15,3,FALSE)</f>
        <v>3.4780879574905166E-2</v>
      </c>
      <c r="F188" s="1">
        <f t="shared" si="5"/>
        <v>6.693227684517833E-4</v>
      </c>
      <c r="G188" s="2">
        <f>VLOOKUP(A188,migr!$A$1:$H$210,8,FALSE)</f>
        <v>0.69977133687881499</v>
      </c>
      <c r="H188" s="2">
        <f>VLOOKUP(B188,localidades!$B$1:$E$20,3,FALSE)</f>
        <v>-74.113363102222095</v>
      </c>
      <c r="I188" s="2">
        <f>VLOOKUP(B188,localidades!$H$1:$K$20,4,FALSE)</f>
        <v>4.5664766672516102</v>
      </c>
      <c r="J188" s="1">
        <f>VLOOKUP(A188,def_hab!$A$1:$E$210,5,FALSE)</f>
        <v>3.3148420987962501E-2</v>
      </c>
      <c r="K188">
        <f>VLOOKUP(A188,ing_prom!$A$1:$D$229,4,FALSE)</f>
        <v>1079392.33749155</v>
      </c>
    </row>
    <row r="189" spans="1:11" x14ac:dyDescent="0.25">
      <c r="A189" t="str">
        <f t="shared" si="4"/>
        <v>Ciudad Bolívar2023</v>
      </c>
      <c r="B189" t="s">
        <v>8</v>
      </c>
      <c r="C189">
        <v>2023</v>
      </c>
      <c r="D189" s="1">
        <f>VLOOKUP(B189,share!$A$1:$C$20,3,FALSE)</f>
        <v>6.7010309278350512E-3</v>
      </c>
      <c r="E189" s="1">
        <f>VLOOKUP(C189,shift!$A$1:$C$15,3,FALSE)</f>
        <v>3.4780879574905166E-2</v>
      </c>
      <c r="F189" s="1">
        <f t="shared" si="5"/>
        <v>2.3306774972874593E-4</v>
      </c>
      <c r="G189" s="2">
        <f>VLOOKUP(A189,migr!$A$1:$H$210,8,FALSE)</f>
        <v>1.15920104675584</v>
      </c>
      <c r="H189" s="2">
        <f>VLOOKUP(B189,localidades!$B$1:$E$20,3,FALSE)</f>
        <v>-74.161960022510598</v>
      </c>
      <c r="I189" s="2">
        <f>VLOOKUP(B189,localidades!$H$1:$K$20,4,FALSE)</f>
        <v>4.48245576116999</v>
      </c>
      <c r="J189" s="1">
        <f>VLOOKUP(A189,def_hab!$A$1:$E$210,5,FALSE)</f>
        <v>4.9986505729739297E-2</v>
      </c>
      <c r="K189" t="e">
        <f>VLOOKUP(A189,ing_prom!$A$1:$D$229,4,FALSE)</f>
        <v>#N/A</v>
      </c>
    </row>
    <row r="190" spans="1:11" x14ac:dyDescent="0.25">
      <c r="A190" t="str">
        <f t="shared" si="4"/>
        <v>Usme2023</v>
      </c>
      <c r="B190" t="s">
        <v>12</v>
      </c>
      <c r="C190">
        <v>2023</v>
      </c>
      <c r="D190" s="1">
        <f>VLOOKUP(B190,share!$A$1:$C$20,3,FALSE)</f>
        <v>7.2164948453608251E-3</v>
      </c>
      <c r="E190" s="1">
        <f>VLOOKUP(C190,shift!$A$1:$C$15,3,FALSE)</f>
        <v>3.4780879574905166E-2</v>
      </c>
      <c r="F190" s="1">
        <f t="shared" si="5"/>
        <v>2.5099603816941871E-4</v>
      </c>
      <c r="G190" s="2">
        <f>VLOOKUP(A190,migr!$A$1:$H$210,8,FALSE)</f>
        <v>0.66059115202076801</v>
      </c>
      <c r="H190" s="2">
        <f>VLOOKUP(B190,localidades!$B$1:$E$20,3,FALSE)</f>
        <v>-74.142812024697704</v>
      </c>
      <c r="I190" s="2">
        <f>VLOOKUP(B190,localidades!$H$1:$K$20,4,FALSE)</f>
        <v>4.3900190318873902</v>
      </c>
      <c r="J190" s="1">
        <f>VLOOKUP(A190,def_hab!$A$1:$E$210,5,FALSE)</f>
        <v>4.9057694814987701E-2</v>
      </c>
      <c r="K190">
        <f>VLOOKUP(A190,ing_prom!$A$1:$D$229,4,FALSE)</f>
        <v>918067.707278986</v>
      </c>
    </row>
    <row r="191" spans="1:11" x14ac:dyDescent="0.25">
      <c r="A191" t="str">
        <f t="shared" si="4"/>
        <v>Bosa2023</v>
      </c>
      <c r="B191" t="s">
        <v>9</v>
      </c>
      <c r="C191">
        <v>2023</v>
      </c>
      <c r="D191" s="1">
        <f>VLOOKUP(B191,share!$A$1:$C$20,3,FALSE)</f>
        <v>2.5945017182130586E-2</v>
      </c>
      <c r="E191" s="1">
        <f>VLOOKUP(C191,shift!$A$1:$C$15,3,FALSE)</f>
        <v>3.4780879574905166E-2</v>
      </c>
      <c r="F191" s="1">
        <f t="shared" si="5"/>
        <v>9.0239051818052929E-4</v>
      </c>
      <c r="G191" s="2">
        <f>VLOOKUP(A191,migr!$A$1:$H$210,8,FALSE)</f>
        <v>1.13851048074359</v>
      </c>
      <c r="H191" s="2">
        <f>VLOOKUP(B191,localidades!$B$1:$E$20,3,FALSE)</f>
        <v>-74.194388716263504</v>
      </c>
      <c r="I191" s="2">
        <f>VLOOKUP(B191,localidades!$H$1:$K$20,4,FALSE)</f>
        <v>4.6217797878632698</v>
      </c>
      <c r="J191" s="1">
        <f>VLOOKUP(A191,def_hab!$A$1:$E$210,5,FALSE)</f>
        <v>3.58557594068344E-2</v>
      </c>
      <c r="K191">
        <f>VLOOKUP(A191,ing_prom!$A$1:$D$229,4,FALSE)</f>
        <v>964112.68048472505</v>
      </c>
    </row>
    <row r="192" spans="1:11" x14ac:dyDescent="0.25">
      <c r="A192" t="str">
        <f t="shared" si="4"/>
        <v>Chapinero2024</v>
      </c>
      <c r="B192" t="s">
        <v>18</v>
      </c>
      <c r="C192">
        <v>2024</v>
      </c>
      <c r="D192" s="1">
        <f>VLOOKUP(B192,share!$A$1:$C$20,3,FALSE)</f>
        <v>0.17577319587628865</v>
      </c>
      <c r="E192" s="1">
        <f>VLOOKUP(C192,shift!$A$1:$C$15,3,FALSE)</f>
        <v>0.19704834236153967</v>
      </c>
      <c r="F192" s="1">
        <f t="shared" si="5"/>
        <v>3.4635816879012897E-2</v>
      </c>
      <c r="G192" s="2">
        <f>VLOOKUP(A192,migr!$A$1:$H$210,8,FALSE)</f>
        <v>0.26818014270836799</v>
      </c>
      <c r="H192" s="2">
        <f>VLOOKUP(B192,localidades!$B$1:$E$20,3,FALSE)</f>
        <v>-74.036938848703201</v>
      </c>
      <c r="I192" s="2">
        <f>VLOOKUP(B192,localidades!$H$1:$K$20,4,FALSE)</f>
        <v>4.64492441542754</v>
      </c>
      <c r="J192" s="1">
        <f>VLOOKUP(A192,def_hab!$A$1:$E$210,5,FALSE)</f>
        <v>3.3401058143537098E-3</v>
      </c>
      <c r="K192">
        <f>VLOOKUP(A192,ing_prom!$A$1:$D$229,4,FALSE)</f>
        <v>4132900.58708973</v>
      </c>
    </row>
    <row r="193" spans="1:11" x14ac:dyDescent="0.25">
      <c r="A193" t="str">
        <f t="shared" si="4"/>
        <v>Teusaquillo2024</v>
      </c>
      <c r="B193" t="s">
        <v>17</v>
      </c>
      <c r="C193">
        <v>2024</v>
      </c>
      <c r="D193" s="1">
        <f>VLOOKUP(B193,share!$A$1:$C$20,3,FALSE)</f>
        <v>0.15068728522336769</v>
      </c>
      <c r="E193" s="1">
        <f>VLOOKUP(C193,shift!$A$1:$C$15,3,FALSE)</f>
        <v>0.19704834236153967</v>
      </c>
      <c r="F193" s="1">
        <f t="shared" si="5"/>
        <v>2.9692679768225136E-2</v>
      </c>
      <c r="G193" s="2">
        <f>VLOOKUP(A193,migr!$A$1:$H$210,8,FALSE)</f>
        <v>0.14650632883710801</v>
      </c>
      <c r="H193" s="2">
        <f>VLOOKUP(B193,localidades!$B$1:$E$20,3,FALSE)</f>
        <v>-74.085768890680001</v>
      </c>
      <c r="I193" s="2">
        <f>VLOOKUP(B193,localidades!$H$1:$K$20,4,FALSE)</f>
        <v>4.6411735516069603</v>
      </c>
      <c r="J193" s="1">
        <f>VLOOKUP(A193,def_hab!$A$1:$E$210,5,FALSE)</f>
        <v>2.40191563103575E-4</v>
      </c>
      <c r="K193">
        <f>VLOOKUP(A193,ing_prom!$A$1:$D$229,4,FALSE)</f>
        <v>4220074.39061308</v>
      </c>
    </row>
    <row r="194" spans="1:11" x14ac:dyDescent="0.25">
      <c r="A194" t="str">
        <f t="shared" si="4"/>
        <v>Usaquén2024</v>
      </c>
      <c r="B194" t="s">
        <v>10</v>
      </c>
      <c r="C194">
        <v>2024</v>
      </c>
      <c r="D194" s="1">
        <f>VLOOKUP(B194,share!$A$1:$C$20,3,FALSE)</f>
        <v>0.14725085910652921</v>
      </c>
      <c r="E194" s="1">
        <f>VLOOKUP(C194,shift!$A$1:$C$15,3,FALSE)</f>
        <v>0.19704834236153967</v>
      </c>
      <c r="F194" s="1">
        <f t="shared" si="5"/>
        <v>2.9015537698254212E-2</v>
      </c>
      <c r="G194" s="2">
        <f>VLOOKUP(A194,migr!$A$1:$H$210,8,FALSE)</f>
        <v>1.2886487830923801</v>
      </c>
      <c r="H194" s="2">
        <f>VLOOKUP(B194,localidades!$B$1:$E$20,3,FALSE)</f>
        <v>-74.027882368779103</v>
      </c>
      <c r="I194" s="2">
        <f>VLOOKUP(B194,localidades!$H$1:$K$20,4,FALSE)</f>
        <v>4.7419260292461196</v>
      </c>
      <c r="J194" s="1">
        <f>VLOOKUP(A194,def_hab!$A$1:$E$210,5,FALSE)</f>
        <v>7.6278922790832798E-3</v>
      </c>
      <c r="K194">
        <f>VLOOKUP(A194,ing_prom!$A$1:$D$229,4,FALSE)</f>
        <v>2948924.5646178699</v>
      </c>
    </row>
    <row r="195" spans="1:11" x14ac:dyDescent="0.25">
      <c r="A195" t="str">
        <f t="shared" ref="A195:A210" si="6">B195&amp;C195</f>
        <v>Suba2024</v>
      </c>
      <c r="B195" t="s">
        <v>6</v>
      </c>
      <c r="C195">
        <v>2024</v>
      </c>
      <c r="D195" s="1">
        <f>VLOOKUP(B195,share!$A$1:$C$20,3,FALSE)</f>
        <v>0.10876288659793815</v>
      </c>
      <c r="E195" s="1">
        <f>VLOOKUP(C195,shift!$A$1:$C$15,3,FALSE)</f>
        <v>0.19704834236153967</v>
      </c>
      <c r="F195" s="1">
        <f t="shared" ref="F195:F210" si="7">D195*E195</f>
        <v>2.1431546514579829E-2</v>
      </c>
      <c r="G195" s="2">
        <f>VLOOKUP(A195,migr!$A$1:$H$210,8,FALSE)</f>
        <v>2.4808458130986102</v>
      </c>
      <c r="H195" s="2">
        <f>VLOOKUP(B195,localidades!$B$1:$E$20,3,FALSE)</f>
        <v>-74.075845800487997</v>
      </c>
      <c r="I195" s="2">
        <f>VLOOKUP(B195,localidades!$H$1:$K$20,4,FALSE)</f>
        <v>4.76320652488001</v>
      </c>
      <c r="J195" s="1">
        <f>VLOOKUP(A195,def_hab!$A$1:$E$210,5,FALSE)</f>
        <v>1.5851116456246199E-2</v>
      </c>
      <c r="K195">
        <f>VLOOKUP(A195,ing_prom!$A$1:$D$229,4,FALSE)</f>
        <v>2229662.7962941998</v>
      </c>
    </row>
    <row r="196" spans="1:11" x14ac:dyDescent="0.25">
      <c r="A196" t="str">
        <f t="shared" si="6"/>
        <v>Barrios Unidos2024</v>
      </c>
      <c r="B196" t="s">
        <v>15</v>
      </c>
      <c r="C196">
        <v>2024</v>
      </c>
      <c r="D196" s="1">
        <f>VLOOKUP(B196,share!$A$1:$C$20,3,FALSE)</f>
        <v>7.1993127147766317E-2</v>
      </c>
      <c r="E196" s="1">
        <f>VLOOKUP(C196,shift!$A$1:$C$15,3,FALSE)</f>
        <v>0.19704834236153967</v>
      </c>
      <c r="F196" s="1">
        <f t="shared" si="7"/>
        <v>1.4186126365890913E-2</v>
      </c>
      <c r="G196" s="2">
        <f>VLOOKUP(A196,migr!$A$1:$H$210,8,FALSE)</f>
        <v>0.18890948773517999</v>
      </c>
      <c r="H196" s="2">
        <f>VLOOKUP(B196,localidades!$B$1:$E$20,3,FALSE)</f>
        <v>-74.073551677463399</v>
      </c>
      <c r="I196" s="2">
        <f>VLOOKUP(B196,localidades!$H$1:$K$20,4,FALSE)</f>
        <v>4.6695668454366004</v>
      </c>
      <c r="J196" s="1">
        <f>VLOOKUP(A196,def_hab!$A$1:$E$210,5,FALSE)</f>
        <v>5.7019306073757704E-3</v>
      </c>
      <c r="K196">
        <f>VLOOKUP(A196,ing_prom!$A$1:$D$229,4,FALSE)</f>
        <v>2465230.95673915</v>
      </c>
    </row>
    <row r="197" spans="1:11" x14ac:dyDescent="0.25">
      <c r="A197" t="str">
        <f t="shared" si="6"/>
        <v>Engativá2024</v>
      </c>
      <c r="B197" t="s">
        <v>7</v>
      </c>
      <c r="C197">
        <v>2024</v>
      </c>
      <c r="D197" s="1">
        <f>VLOOKUP(B197,share!$A$1:$C$20,3,FALSE)</f>
        <v>6.0309278350515465E-2</v>
      </c>
      <c r="E197" s="1">
        <f>VLOOKUP(C197,shift!$A$1:$C$15,3,FALSE)</f>
        <v>0.19704834236153967</v>
      </c>
      <c r="F197" s="1">
        <f t="shared" si="7"/>
        <v>1.1883843327989764E-2</v>
      </c>
      <c r="G197" s="2">
        <f>VLOOKUP(A197,migr!$A$1:$H$210,8,FALSE)</f>
        <v>1.3984684796414699</v>
      </c>
      <c r="H197" s="2">
        <f>VLOOKUP(B197,localidades!$B$1:$E$20,3,FALSE)</f>
        <v>-74.113187148077898</v>
      </c>
      <c r="I197" s="2">
        <f>VLOOKUP(B197,localidades!$H$1:$K$20,4,FALSE)</f>
        <v>4.70112526984326</v>
      </c>
      <c r="J197" s="1">
        <f>VLOOKUP(A197,def_hab!$A$1:$E$210,5,FALSE)</f>
        <v>1.2500439204929201E-2</v>
      </c>
      <c r="K197">
        <f>VLOOKUP(A197,ing_prom!$A$1:$D$229,4,FALSE)</f>
        <v>1648186.57588445</v>
      </c>
    </row>
    <row r="198" spans="1:11" x14ac:dyDescent="0.25">
      <c r="A198" t="str">
        <f t="shared" si="6"/>
        <v>Fontibón2024</v>
      </c>
      <c r="B198" t="s">
        <v>13</v>
      </c>
      <c r="C198">
        <v>2024</v>
      </c>
      <c r="D198" s="1">
        <f>VLOOKUP(B198,share!$A$1:$C$20,3,FALSE)</f>
        <v>5.0171821305841927E-2</v>
      </c>
      <c r="E198" s="1">
        <f>VLOOKUP(C198,shift!$A$1:$C$15,3,FALSE)</f>
        <v>0.19704834236153967</v>
      </c>
      <c r="F198" s="1">
        <f t="shared" si="7"/>
        <v>9.8862742215755309E-3</v>
      </c>
      <c r="G198" s="2">
        <f>VLOOKUP(A198,migr!$A$1:$H$210,8,FALSE)</f>
        <v>0.614967684446319</v>
      </c>
      <c r="H198" s="2">
        <f>VLOOKUP(B198,localidades!$B$1:$E$20,3,FALSE)</f>
        <v>-74.140150765275294</v>
      </c>
      <c r="I198" s="2">
        <f>VLOOKUP(B198,localidades!$H$1:$K$20,4,FALSE)</f>
        <v>4.6781827131162403</v>
      </c>
      <c r="J198" s="1">
        <f>VLOOKUP(A198,def_hab!$A$1:$E$210,5,FALSE)</f>
        <v>1.24740268958866E-2</v>
      </c>
      <c r="K198">
        <f>VLOOKUP(A198,ing_prom!$A$1:$D$229,4,FALSE)</f>
        <v>2084831.6508187</v>
      </c>
    </row>
    <row r="199" spans="1:11" x14ac:dyDescent="0.25">
      <c r="A199" t="str">
        <f t="shared" si="6"/>
        <v>Kennedy2024</v>
      </c>
      <c r="B199" t="s">
        <v>5</v>
      </c>
      <c r="C199">
        <v>2024</v>
      </c>
      <c r="D199" s="1">
        <f>VLOOKUP(B199,share!$A$1:$C$20,3,FALSE)</f>
        <v>4.6907216494845361E-2</v>
      </c>
      <c r="E199" s="1">
        <f>VLOOKUP(C199,shift!$A$1:$C$15,3,FALSE)</f>
        <v>0.19704834236153967</v>
      </c>
      <c r="F199" s="1">
        <f t="shared" si="7"/>
        <v>9.2429892551031505E-3</v>
      </c>
      <c r="G199" s="2">
        <f>VLOOKUP(A199,migr!$A$1:$H$210,8,FALSE)</f>
        <v>2.1389787564459399</v>
      </c>
      <c r="H199" s="2">
        <f>VLOOKUP(B199,localidades!$B$1:$E$20,3,FALSE)</f>
        <v>-74.152667580564398</v>
      </c>
      <c r="I199" s="2">
        <f>VLOOKUP(B199,localidades!$H$1:$K$20,4,FALSE)</f>
        <v>4.6303471220515098</v>
      </c>
      <c r="J199" s="1">
        <f>VLOOKUP(A199,def_hab!$A$1:$E$210,5,FALSE)</f>
        <v>2.04487815647495E-2</v>
      </c>
      <c r="K199">
        <f>VLOOKUP(A199,ing_prom!$A$1:$D$229,4,FALSE)</f>
        <v>1356371.2577841801</v>
      </c>
    </row>
    <row r="200" spans="1:11" x14ac:dyDescent="0.25">
      <c r="A200" t="str">
        <f t="shared" si="6"/>
        <v>Antonio Nariño2024</v>
      </c>
      <c r="B200" t="s">
        <v>19</v>
      </c>
      <c r="C200">
        <v>2024</v>
      </c>
      <c r="D200" s="1">
        <f>VLOOKUP(B200,share!$A$1:$C$20,3,FALSE)</f>
        <v>2.7663230240549827E-2</v>
      </c>
      <c r="E200" s="1">
        <f>VLOOKUP(C200,shift!$A$1:$C$15,3,FALSE)</f>
        <v>0.19704834236153967</v>
      </c>
      <c r="F200" s="1">
        <f t="shared" si="7"/>
        <v>5.4509936632659598E-3</v>
      </c>
      <c r="G200" s="2">
        <f>VLOOKUP(A200,migr!$A$1:$H$210,8,FALSE)</f>
        <v>0.18339472713384</v>
      </c>
      <c r="H200" s="2">
        <f>VLOOKUP(B200,localidades!$B$1:$E$20,3,FALSE)</f>
        <v>-74.102842336786907</v>
      </c>
      <c r="I200" s="2">
        <f>VLOOKUP(B200,localidades!$H$1:$K$20,4,FALSE)</f>
        <v>4.5887707178273196</v>
      </c>
      <c r="J200" s="1">
        <f>VLOOKUP(A200,def_hab!$A$1:$E$210,5,FALSE)</f>
        <v>1.04048713873061E-2</v>
      </c>
      <c r="K200">
        <f>VLOOKUP(A200,ing_prom!$A$1:$D$229,4,FALSE)</f>
        <v>1346965.4200019799</v>
      </c>
    </row>
    <row r="201" spans="1:11" x14ac:dyDescent="0.25">
      <c r="A201" t="str">
        <f t="shared" si="6"/>
        <v>La Candelaria2024</v>
      </c>
      <c r="B201" t="s">
        <v>22</v>
      </c>
      <c r="C201">
        <v>2024</v>
      </c>
      <c r="D201" s="1">
        <f>VLOOKUP(B201,share!$A$1:$C$20,3,FALSE)</f>
        <v>8.4192439862542951E-3</v>
      </c>
      <c r="E201" s="1">
        <f>VLOOKUP(C201,shift!$A$1:$C$15,3,FALSE)</f>
        <v>0.19704834236153967</v>
      </c>
      <c r="F201" s="1">
        <f t="shared" si="7"/>
        <v>1.6589980714287703E-3</v>
      </c>
      <c r="G201" s="2">
        <f>VLOOKUP(A201,migr!$A$1:$H$210,8,FALSE)</f>
        <v>5.3370763905302598E-2</v>
      </c>
      <c r="H201" s="2">
        <f>VLOOKUP(B201,localidades!$B$1:$E$20,3,FALSE)</f>
        <v>-74.072070819324594</v>
      </c>
      <c r="I201" s="2">
        <f>VLOOKUP(B201,localidades!$H$1:$K$20,4,FALSE)</f>
        <v>4.59660507502144</v>
      </c>
      <c r="J201" s="1">
        <f>VLOOKUP(A201,def_hab!$A$1:$E$210,5,FALSE)</f>
        <v>1.4577057707862301E-3</v>
      </c>
      <c r="K201">
        <f>VLOOKUP(A201,ing_prom!$A$1:$D$229,4,FALSE)</f>
        <v>1994548.79004623</v>
      </c>
    </row>
    <row r="202" spans="1:11" x14ac:dyDescent="0.25">
      <c r="A202" t="str">
        <f t="shared" si="6"/>
        <v>Santa Fe2024</v>
      </c>
      <c r="B202" t="s">
        <v>20</v>
      </c>
      <c r="C202">
        <v>2024</v>
      </c>
      <c r="D202" s="1">
        <f>VLOOKUP(B202,share!$A$1:$C$20,3,FALSE)</f>
        <v>1.5979381443298968E-2</v>
      </c>
      <c r="E202" s="1">
        <f>VLOOKUP(C202,shift!$A$1:$C$15,3,FALSE)</f>
        <v>0.19704834236153967</v>
      </c>
      <c r="F202" s="1">
        <f t="shared" si="7"/>
        <v>3.1487106253648089E-3</v>
      </c>
      <c r="G202" s="2">
        <f>VLOOKUP(A202,migr!$A$1:$H$210,8,FALSE)</f>
        <v>0.27554235070989003</v>
      </c>
      <c r="H202" s="2">
        <f>VLOOKUP(B202,localidades!$B$1:$E$20,3,FALSE)</f>
        <v>-74.0362173927127</v>
      </c>
      <c r="I202" s="2">
        <f>VLOOKUP(B202,localidades!$H$1:$K$20,4,FALSE)</f>
        <v>4.5939727566360302</v>
      </c>
      <c r="J202" s="1">
        <f>VLOOKUP(A202,def_hab!$A$1:$E$210,5,FALSE)</f>
        <v>3.6181805887664301E-2</v>
      </c>
      <c r="K202">
        <f>VLOOKUP(A202,ing_prom!$A$1:$D$229,4,FALSE)</f>
        <v>1554271.4928424601</v>
      </c>
    </row>
    <row r="203" spans="1:11" x14ac:dyDescent="0.25">
      <c r="A203" t="str">
        <f t="shared" si="6"/>
        <v>Puente Aranda2024</v>
      </c>
      <c r="B203" t="s">
        <v>14</v>
      </c>
      <c r="C203">
        <v>2024</v>
      </c>
      <c r="D203" s="1">
        <f>VLOOKUP(B203,share!$A$1:$C$20,3,FALSE)</f>
        <v>3.1786941580756012E-2</v>
      </c>
      <c r="E203" s="1">
        <f>VLOOKUP(C203,shift!$A$1:$C$15,3,FALSE)</f>
        <v>0.19704834236153967</v>
      </c>
      <c r="F203" s="1">
        <f t="shared" si="7"/>
        <v>6.2635641472310721E-3</v>
      </c>
      <c r="G203" s="2">
        <f>VLOOKUP(A203,migr!$A$1:$H$210,8,FALSE)</f>
        <v>0.21583123498184201</v>
      </c>
      <c r="H203" s="2">
        <f>VLOOKUP(B203,localidades!$B$1:$E$20,3,FALSE)</f>
        <v>-74.111580402476093</v>
      </c>
      <c r="I203" s="2">
        <f>VLOOKUP(B203,localidades!$H$1:$K$20,4,FALSE)</f>
        <v>4.6162453592553296</v>
      </c>
      <c r="J203" s="1">
        <f>VLOOKUP(A203,def_hab!$A$1:$E$210,5,FALSE)</f>
        <v>1.01188488753107E-2</v>
      </c>
      <c r="K203">
        <f>VLOOKUP(A203,ing_prom!$A$1:$D$229,4,FALSE)</f>
        <v>1307533.17789759</v>
      </c>
    </row>
    <row r="204" spans="1:11" x14ac:dyDescent="0.25">
      <c r="A204" t="str">
        <f t="shared" si="6"/>
        <v>Los Mártires2024</v>
      </c>
      <c r="B204" t="s">
        <v>21</v>
      </c>
      <c r="C204">
        <v>2024</v>
      </c>
      <c r="D204" s="1">
        <f>VLOOKUP(B204,share!$A$1:$C$20,3,FALSE)</f>
        <v>1.5120274914089347E-2</v>
      </c>
      <c r="E204" s="1">
        <f>VLOOKUP(C204,shift!$A$1:$C$15,3,FALSE)</f>
        <v>0.19704834236153967</v>
      </c>
      <c r="F204" s="1">
        <f t="shared" si="7"/>
        <v>2.9794251078720775E-3</v>
      </c>
      <c r="G204" s="2">
        <f>VLOOKUP(A204,migr!$A$1:$H$210,8,FALSE)</f>
        <v>0.538363220388131</v>
      </c>
      <c r="H204" s="2">
        <f>VLOOKUP(B204,localidades!$B$1:$E$20,3,FALSE)</f>
        <v>-74.087947983810096</v>
      </c>
      <c r="I204" s="2">
        <f>VLOOKUP(B204,localidades!$H$1:$K$20,4,FALSE)</f>
        <v>4.6071559155114903</v>
      </c>
      <c r="J204" s="1">
        <f>VLOOKUP(A204,def_hab!$A$1:$E$210,5,FALSE)</f>
        <v>1.6563856165235501E-2</v>
      </c>
      <c r="K204">
        <f>VLOOKUP(A204,ing_prom!$A$1:$D$229,4,FALSE)</f>
        <v>1484398.48480559</v>
      </c>
    </row>
    <row r="205" spans="1:11" x14ac:dyDescent="0.25">
      <c r="A205" t="str">
        <f t="shared" si="6"/>
        <v>Tunjuelito2024</v>
      </c>
      <c r="B205" t="s">
        <v>16</v>
      </c>
      <c r="C205">
        <v>2024</v>
      </c>
      <c r="D205" s="1">
        <f>VLOOKUP(B205,share!$A$1:$C$20,3,FALSE)</f>
        <v>7.5601374570446736E-3</v>
      </c>
      <c r="E205" s="1">
        <f>VLOOKUP(C205,shift!$A$1:$C$15,3,FALSE)</f>
        <v>0.19704834236153967</v>
      </c>
      <c r="F205" s="1">
        <f t="shared" si="7"/>
        <v>1.4897125539360388E-3</v>
      </c>
      <c r="G205" s="2">
        <f>VLOOKUP(A205,migr!$A$1:$H$210,8,FALSE)</f>
        <v>0.39789837590971799</v>
      </c>
      <c r="H205" s="2">
        <f>VLOOKUP(B205,localidades!$B$1:$E$20,3,FALSE)</f>
        <v>-74.135989244733693</v>
      </c>
      <c r="I205" s="2">
        <f>VLOOKUP(B205,localidades!$H$1:$K$20,4,FALSE)</f>
        <v>4.5748411850953001</v>
      </c>
      <c r="J205" s="1">
        <f>VLOOKUP(A205,def_hab!$A$1:$E$210,5,FALSE)</f>
        <v>3.00580867721226E-2</v>
      </c>
      <c r="K205">
        <f>VLOOKUP(A205,ing_prom!$A$1:$D$229,4,FALSE)</f>
        <v>1177301.16187484</v>
      </c>
    </row>
    <row r="206" spans="1:11" x14ac:dyDescent="0.25">
      <c r="A206" t="str">
        <f t="shared" si="6"/>
        <v>San Cristóbal2024</v>
      </c>
      <c r="B206" t="s">
        <v>11</v>
      </c>
      <c r="C206">
        <v>2024</v>
      </c>
      <c r="D206" s="1">
        <f>VLOOKUP(B206,share!$A$1:$C$20,3,FALSE)</f>
        <v>2.2508591065292096E-2</v>
      </c>
      <c r="E206" s="1">
        <f>VLOOKUP(C206,shift!$A$1:$C$15,3,FALSE)</f>
        <v>0.19704834236153967</v>
      </c>
      <c r="F206" s="1">
        <f t="shared" si="7"/>
        <v>4.4352805583095702E-3</v>
      </c>
      <c r="G206" s="2">
        <f>VLOOKUP(A206,migr!$A$1:$H$210,8,FALSE)</f>
        <v>0.37177431825263602</v>
      </c>
      <c r="H206" s="2">
        <f>VLOOKUP(B206,localidades!$B$1:$E$20,3,FALSE)</f>
        <v>-74.066072400776207</v>
      </c>
      <c r="I206" s="2">
        <f>VLOOKUP(B206,localidades!$H$1:$K$20,4,FALSE)</f>
        <v>4.5487488041769897</v>
      </c>
      <c r="J206" s="1">
        <f>VLOOKUP(A206,def_hab!$A$1:$E$210,5,FALSE)</f>
        <v>3.5094835459452002E-2</v>
      </c>
      <c r="K206">
        <f>VLOOKUP(A206,ing_prom!$A$1:$D$229,4,FALSE)</f>
        <v>1062877.5191687101</v>
      </c>
    </row>
    <row r="207" spans="1:11" x14ac:dyDescent="0.25">
      <c r="A207" t="str">
        <f t="shared" si="6"/>
        <v>Rafael Uribe2024</v>
      </c>
      <c r="B207" t="s">
        <v>29</v>
      </c>
      <c r="C207">
        <v>2024</v>
      </c>
      <c r="D207" s="1">
        <f>VLOOKUP(B207,share!$A$1:$C$20,3,FALSE)</f>
        <v>1.9243986254295534E-2</v>
      </c>
      <c r="E207" s="1">
        <f>VLOOKUP(C207,shift!$A$1:$C$15,3,FALSE)</f>
        <v>0.19704834236153967</v>
      </c>
      <c r="F207" s="1">
        <f t="shared" si="7"/>
        <v>3.7919955918371898E-3</v>
      </c>
      <c r="G207" s="2">
        <f>VLOOKUP(A207,migr!$A$1:$H$210,8,FALSE)</f>
        <v>0.83404670148287396</v>
      </c>
      <c r="H207" s="2">
        <f>VLOOKUP(B207,localidades!$B$1:$E$20,3,FALSE)</f>
        <v>-74.113363102222095</v>
      </c>
      <c r="I207" s="2">
        <f>VLOOKUP(B207,localidades!$H$1:$K$20,4,FALSE)</f>
        <v>4.5664766672516102</v>
      </c>
      <c r="J207" s="1">
        <f>VLOOKUP(A207,def_hab!$A$1:$E$210,5,FALSE)</f>
        <v>3.12213513115694E-2</v>
      </c>
      <c r="K207">
        <f>VLOOKUP(A207,ing_prom!$A$1:$D$229,4,FALSE)</f>
        <v>1135520.73904111</v>
      </c>
    </row>
    <row r="208" spans="1:11" x14ac:dyDescent="0.25">
      <c r="A208" t="str">
        <f t="shared" si="6"/>
        <v>Ciudad Bolívar2024</v>
      </c>
      <c r="B208" t="s">
        <v>8</v>
      </c>
      <c r="C208">
        <v>2024</v>
      </c>
      <c r="D208" s="1">
        <f>VLOOKUP(B208,share!$A$1:$C$20,3,FALSE)</f>
        <v>6.7010309278350512E-3</v>
      </c>
      <c r="E208" s="1">
        <f>VLOOKUP(C208,shift!$A$1:$C$15,3,FALSE)</f>
        <v>0.19704834236153967</v>
      </c>
      <c r="F208" s="1">
        <f t="shared" si="7"/>
        <v>1.320427036443307E-3</v>
      </c>
      <c r="G208" s="2">
        <f>VLOOKUP(A208,migr!$A$1:$H$210,8,FALSE)</f>
        <v>1.3816339116068199</v>
      </c>
      <c r="H208" s="2">
        <f>VLOOKUP(B208,localidades!$B$1:$E$20,3,FALSE)</f>
        <v>-74.161960022510598</v>
      </c>
      <c r="I208" s="2">
        <f>VLOOKUP(B208,localidades!$H$1:$K$20,4,FALSE)</f>
        <v>4.48245576116999</v>
      </c>
      <c r="J208" s="1">
        <f>VLOOKUP(A208,def_hab!$A$1:$E$210,5,FALSE)</f>
        <v>4.7080560995430197E-2</v>
      </c>
      <c r="K208" t="e">
        <f>VLOOKUP(A208,ing_prom!$A$1:$D$229,4,FALSE)</f>
        <v>#N/A</v>
      </c>
    </row>
    <row r="209" spans="1:11" x14ac:dyDescent="0.25">
      <c r="A209" t="str">
        <f t="shared" si="6"/>
        <v>Usme2024</v>
      </c>
      <c r="B209" t="s">
        <v>12</v>
      </c>
      <c r="C209">
        <v>2024</v>
      </c>
      <c r="D209" s="1">
        <f>VLOOKUP(B209,share!$A$1:$C$20,3,FALSE)</f>
        <v>7.2164948453608251E-3</v>
      </c>
      <c r="E209" s="1">
        <f>VLOOKUP(C209,shift!$A$1:$C$15,3,FALSE)</f>
        <v>0.19704834236153967</v>
      </c>
      <c r="F209" s="1">
        <f t="shared" si="7"/>
        <v>1.4219983469389462E-3</v>
      </c>
      <c r="G209" s="2">
        <f>VLOOKUP(A209,migr!$A$1:$H$210,8,FALSE)</f>
        <v>0.78734844131963799</v>
      </c>
      <c r="H209" s="2">
        <f>VLOOKUP(B209,localidades!$B$1:$E$20,3,FALSE)</f>
        <v>-74.142812024697704</v>
      </c>
      <c r="I209" s="2">
        <f>VLOOKUP(B209,localidades!$H$1:$K$20,4,FALSE)</f>
        <v>4.3900190318873902</v>
      </c>
      <c r="J209" s="1">
        <f>VLOOKUP(A209,def_hab!$A$1:$E$210,5,FALSE)</f>
        <v>4.6205746117158497E-2</v>
      </c>
      <c r="K209">
        <f>VLOOKUP(A209,ing_prom!$A$1:$D$229,4,FALSE)</f>
        <v>965807.22805749404</v>
      </c>
    </row>
    <row r="210" spans="1:11" x14ac:dyDescent="0.25">
      <c r="A210" t="str">
        <f t="shared" si="6"/>
        <v>Bosa2024</v>
      </c>
      <c r="B210" t="s">
        <v>9</v>
      </c>
      <c r="C210">
        <v>2024</v>
      </c>
      <c r="D210" s="1">
        <f>VLOOKUP(B210,share!$A$1:$C$20,3,FALSE)</f>
        <v>2.5945017182130586E-2</v>
      </c>
      <c r="E210" s="1">
        <f>VLOOKUP(C210,shift!$A$1:$C$15,3,FALSE)</f>
        <v>0.19704834236153967</v>
      </c>
      <c r="F210" s="1">
        <f t="shared" si="7"/>
        <v>5.1124226282804972E-3</v>
      </c>
      <c r="G210" s="2">
        <f>VLOOKUP(A210,migr!$A$1:$H$210,8,FALSE)</f>
        <v>1.3569731439747701</v>
      </c>
      <c r="H210" s="2">
        <f>VLOOKUP(B210,localidades!$B$1:$E$20,3,FALSE)</f>
        <v>-74.194388716263504</v>
      </c>
      <c r="I210" s="2">
        <f>VLOOKUP(B210,localidades!$H$1:$K$20,4,FALSE)</f>
        <v>4.6217797878632698</v>
      </c>
      <c r="J210" s="1">
        <f>VLOOKUP(A210,def_hab!$A$1:$E$210,5,FALSE)</f>
        <v>3.37712997367327E-2</v>
      </c>
      <c r="K210">
        <f>VLOOKUP(A210,ing_prom!$A$1:$D$229,4,FALSE)</f>
        <v>1014246.53986993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A324-665A-4367-B9EA-FF00F49BE2EB}">
  <dimension ref="A1:C15"/>
  <sheetViews>
    <sheetView workbookViewId="0">
      <selection activeCell="C10" sqref="C10"/>
    </sheetView>
  </sheetViews>
  <sheetFormatPr defaultRowHeight="15" x14ac:dyDescent="0.25"/>
  <cols>
    <col min="2" max="2" width="10.5703125" bestFit="1" customWidth="1"/>
    <col min="3" max="3" width="6.28515625" bestFit="1" customWidth="1"/>
  </cols>
  <sheetData>
    <row r="1" spans="1:3" x14ac:dyDescent="0.25">
      <c r="A1" t="s">
        <v>1</v>
      </c>
      <c r="B1" t="s">
        <v>3</v>
      </c>
      <c r="C1" t="s">
        <v>4</v>
      </c>
    </row>
    <row r="2" spans="1:3" x14ac:dyDescent="0.25">
      <c r="A2">
        <v>2012</v>
      </c>
      <c r="B2" s="3">
        <v>251485</v>
      </c>
    </row>
    <row r="3" spans="1:3" x14ac:dyDescent="0.25">
      <c r="A3">
        <v>2013</v>
      </c>
      <c r="B3" s="3">
        <v>262912</v>
      </c>
      <c r="C3" s="1">
        <f>(B3/B2)-1</f>
        <v>4.5438097699664004E-2</v>
      </c>
    </row>
    <row r="4" spans="1:3" x14ac:dyDescent="0.25">
      <c r="A4">
        <v>2014</v>
      </c>
      <c r="B4" s="3">
        <v>292093</v>
      </c>
      <c r="C4" s="1">
        <f t="shared" ref="C4:C15" si="0">(B4/B3)-1</f>
        <v>0.11099151046738065</v>
      </c>
    </row>
    <row r="5" spans="1:3" x14ac:dyDescent="0.25">
      <c r="A5">
        <v>2015</v>
      </c>
      <c r="B5" s="3">
        <v>328947</v>
      </c>
      <c r="C5" s="1">
        <f t="shared" si="0"/>
        <v>0.1261721438035146</v>
      </c>
    </row>
    <row r="6" spans="1:3" x14ac:dyDescent="0.25">
      <c r="A6">
        <v>2016</v>
      </c>
      <c r="B6" s="3">
        <v>378466</v>
      </c>
      <c r="C6" s="1">
        <f t="shared" si="0"/>
        <v>0.15053792860247994</v>
      </c>
    </row>
    <row r="7" spans="1:3" x14ac:dyDescent="0.25">
      <c r="A7">
        <v>2017</v>
      </c>
      <c r="B7" s="3">
        <v>795320</v>
      </c>
      <c r="C7" s="1">
        <f t="shared" si="0"/>
        <v>1.1014305115915302</v>
      </c>
    </row>
    <row r="8" spans="1:3" x14ac:dyDescent="0.25">
      <c r="A8">
        <v>2018</v>
      </c>
      <c r="B8" s="3">
        <v>1357893</v>
      </c>
      <c r="C8" s="1">
        <f t="shared" si="0"/>
        <v>0.70735427249409044</v>
      </c>
    </row>
    <row r="9" spans="1:3" x14ac:dyDescent="0.25">
      <c r="A9">
        <v>2019</v>
      </c>
      <c r="B9" s="3">
        <v>1092782</v>
      </c>
      <c r="C9" s="1">
        <f>(B9/B8)-1</f>
        <v>-0.19523703266752246</v>
      </c>
    </row>
    <row r="10" spans="1:3" x14ac:dyDescent="0.25">
      <c r="A10">
        <v>2020</v>
      </c>
      <c r="B10" s="3">
        <v>189381</v>
      </c>
      <c r="C10" s="1">
        <f t="shared" si="0"/>
        <v>-0.82669828016932922</v>
      </c>
    </row>
    <row r="11" spans="1:3" x14ac:dyDescent="0.25">
      <c r="A11">
        <v>2021</v>
      </c>
      <c r="B11" s="3">
        <v>259891</v>
      </c>
      <c r="C11" s="1">
        <f t="shared" si="0"/>
        <v>0.37231823678193687</v>
      </c>
    </row>
    <row r="12" spans="1:3" x14ac:dyDescent="0.25">
      <c r="A12">
        <v>2022</v>
      </c>
      <c r="B12" s="3">
        <v>452605</v>
      </c>
      <c r="C12" s="1">
        <f t="shared" si="0"/>
        <v>0.74151855970387581</v>
      </c>
    </row>
    <row r="13" spans="1:3" x14ac:dyDescent="0.25">
      <c r="A13">
        <v>2023</v>
      </c>
      <c r="B13" s="3">
        <v>468347</v>
      </c>
      <c r="C13" s="1">
        <f t="shared" si="0"/>
        <v>3.4780879574905166E-2</v>
      </c>
    </row>
    <row r="14" spans="1:3" x14ac:dyDescent="0.25">
      <c r="A14">
        <v>2024</v>
      </c>
      <c r="B14" s="3">
        <v>560634</v>
      </c>
      <c r="C14" s="1">
        <f t="shared" si="0"/>
        <v>0.19704834236153967</v>
      </c>
    </row>
    <row r="15" spans="1:3" x14ac:dyDescent="0.25">
      <c r="A15">
        <v>2025</v>
      </c>
      <c r="B15" s="3">
        <v>321279</v>
      </c>
      <c r="C15" s="1">
        <f t="shared" si="0"/>
        <v>-0.42693628998598021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7F4B-5E4E-431C-B310-B0695427739E}">
  <dimension ref="A1:C20"/>
  <sheetViews>
    <sheetView workbookViewId="0">
      <selection activeCell="C2" sqref="C2"/>
    </sheetView>
  </sheetViews>
  <sheetFormatPr defaultRowHeight="15" x14ac:dyDescent="0.25"/>
  <cols>
    <col min="1" max="1" width="15" bestFit="1" customWidth="1"/>
  </cols>
  <sheetData>
    <row r="1" spans="1:3" x14ac:dyDescent="0.25">
      <c r="A1" t="s">
        <v>24</v>
      </c>
      <c r="B1" t="s">
        <v>27</v>
      </c>
      <c r="C1" t="s">
        <v>28</v>
      </c>
    </row>
    <row r="2" spans="1:3" x14ac:dyDescent="0.25">
      <c r="A2" t="s">
        <v>18</v>
      </c>
      <c r="B2">
        <v>1023</v>
      </c>
      <c r="C2">
        <f>B2/SUM($B$2:$B$20)</f>
        <v>0.17577319587628865</v>
      </c>
    </row>
    <row r="3" spans="1:3" x14ac:dyDescent="0.25">
      <c r="A3" t="s">
        <v>17</v>
      </c>
      <c r="B3">
        <v>877</v>
      </c>
      <c r="C3">
        <f t="shared" ref="C3:C20" si="0">B3/SUM($B$2:$B$20)</f>
        <v>0.15068728522336769</v>
      </c>
    </row>
    <row r="4" spans="1:3" x14ac:dyDescent="0.25">
      <c r="A4" t="s">
        <v>10</v>
      </c>
      <c r="B4">
        <v>857</v>
      </c>
      <c r="C4">
        <f t="shared" si="0"/>
        <v>0.14725085910652921</v>
      </c>
    </row>
    <row r="5" spans="1:3" x14ac:dyDescent="0.25">
      <c r="A5" t="s">
        <v>6</v>
      </c>
      <c r="B5">
        <v>633</v>
      </c>
      <c r="C5">
        <f t="shared" si="0"/>
        <v>0.10876288659793815</v>
      </c>
    </row>
    <row r="6" spans="1:3" x14ac:dyDescent="0.25">
      <c r="A6" t="s">
        <v>15</v>
      </c>
      <c r="B6">
        <v>419</v>
      </c>
      <c r="C6">
        <f t="shared" si="0"/>
        <v>7.1993127147766317E-2</v>
      </c>
    </row>
    <row r="7" spans="1:3" x14ac:dyDescent="0.25">
      <c r="A7" t="s">
        <v>7</v>
      </c>
      <c r="B7">
        <v>351</v>
      </c>
      <c r="C7">
        <f t="shared" si="0"/>
        <v>6.0309278350515465E-2</v>
      </c>
    </row>
    <row r="8" spans="1:3" x14ac:dyDescent="0.25">
      <c r="A8" t="s">
        <v>13</v>
      </c>
      <c r="B8">
        <v>292</v>
      </c>
      <c r="C8">
        <f t="shared" si="0"/>
        <v>5.0171821305841927E-2</v>
      </c>
    </row>
    <row r="9" spans="1:3" x14ac:dyDescent="0.25">
      <c r="A9" t="s">
        <v>5</v>
      </c>
      <c r="B9">
        <v>273</v>
      </c>
      <c r="C9">
        <f t="shared" si="0"/>
        <v>4.6907216494845361E-2</v>
      </c>
    </row>
    <row r="10" spans="1:3" x14ac:dyDescent="0.25">
      <c r="A10" t="s">
        <v>19</v>
      </c>
      <c r="B10">
        <v>161</v>
      </c>
      <c r="C10">
        <f t="shared" si="0"/>
        <v>2.7663230240549827E-2</v>
      </c>
    </row>
    <row r="11" spans="1:3" x14ac:dyDescent="0.25">
      <c r="A11" t="s">
        <v>22</v>
      </c>
      <c r="B11">
        <v>49</v>
      </c>
      <c r="C11">
        <f t="shared" si="0"/>
        <v>8.4192439862542951E-3</v>
      </c>
    </row>
    <row r="12" spans="1:3" x14ac:dyDescent="0.25">
      <c r="A12" t="s">
        <v>20</v>
      </c>
      <c r="B12">
        <v>93</v>
      </c>
      <c r="C12">
        <f t="shared" si="0"/>
        <v>1.5979381443298968E-2</v>
      </c>
    </row>
    <row r="13" spans="1:3" x14ac:dyDescent="0.25">
      <c r="A13" t="s">
        <v>14</v>
      </c>
      <c r="B13">
        <v>185</v>
      </c>
      <c r="C13">
        <f t="shared" si="0"/>
        <v>3.1786941580756012E-2</v>
      </c>
    </row>
    <row r="14" spans="1:3" x14ac:dyDescent="0.25">
      <c r="A14" t="s">
        <v>21</v>
      </c>
      <c r="B14">
        <v>88</v>
      </c>
      <c r="C14">
        <f t="shared" si="0"/>
        <v>1.5120274914089347E-2</v>
      </c>
    </row>
    <row r="15" spans="1:3" x14ac:dyDescent="0.25">
      <c r="A15" t="s">
        <v>16</v>
      </c>
      <c r="B15">
        <v>44</v>
      </c>
      <c r="C15">
        <f t="shared" si="0"/>
        <v>7.5601374570446736E-3</v>
      </c>
    </row>
    <row r="16" spans="1:3" x14ac:dyDescent="0.25">
      <c r="A16" t="s">
        <v>11</v>
      </c>
      <c r="B16">
        <v>131</v>
      </c>
      <c r="C16">
        <f t="shared" si="0"/>
        <v>2.2508591065292096E-2</v>
      </c>
    </row>
    <row r="17" spans="1:3" x14ac:dyDescent="0.25">
      <c r="A17" t="s">
        <v>29</v>
      </c>
      <c r="B17">
        <v>112</v>
      </c>
      <c r="C17">
        <f t="shared" si="0"/>
        <v>1.9243986254295534E-2</v>
      </c>
    </row>
    <row r="18" spans="1:3" x14ac:dyDescent="0.25">
      <c r="A18" t="s">
        <v>8</v>
      </c>
      <c r="B18">
        <v>39</v>
      </c>
      <c r="C18">
        <f t="shared" si="0"/>
        <v>6.7010309278350512E-3</v>
      </c>
    </row>
    <row r="19" spans="1:3" x14ac:dyDescent="0.25">
      <c r="A19" t="s">
        <v>12</v>
      </c>
      <c r="B19">
        <v>42</v>
      </c>
      <c r="C19">
        <f t="shared" si="0"/>
        <v>7.2164948453608251E-3</v>
      </c>
    </row>
    <row r="20" spans="1:3" x14ac:dyDescent="0.25">
      <c r="A20" t="s">
        <v>9</v>
      </c>
      <c r="B20">
        <v>151</v>
      </c>
      <c r="C20">
        <f t="shared" si="0"/>
        <v>2.5945017182130586E-2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5F8C-B17E-4A74-8C32-26B3B27B5D69}">
  <dimension ref="A1:K20"/>
  <sheetViews>
    <sheetView workbookViewId="0">
      <selection activeCell="J22" sqref="J22"/>
    </sheetView>
  </sheetViews>
  <sheetFormatPr defaultRowHeight="15" x14ac:dyDescent="0.25"/>
  <sheetData>
    <row r="1" spans="1:11" x14ac:dyDescent="0.25">
      <c r="A1" t="s">
        <v>23</v>
      </c>
      <c r="B1" t="s">
        <v>24</v>
      </c>
      <c r="C1" t="s">
        <v>25</v>
      </c>
      <c r="D1" t="s">
        <v>32</v>
      </c>
      <c r="E1" t="s">
        <v>31</v>
      </c>
      <c r="H1" t="s">
        <v>53</v>
      </c>
      <c r="I1" t="s">
        <v>26</v>
      </c>
      <c r="J1" t="s">
        <v>58</v>
      </c>
      <c r="K1" t="s">
        <v>59</v>
      </c>
    </row>
    <row r="2" spans="1:11" x14ac:dyDescent="0.25">
      <c r="A2">
        <v>8</v>
      </c>
      <c r="B2" t="s">
        <v>5</v>
      </c>
      <c r="C2">
        <v>933574</v>
      </c>
      <c r="D2">
        <f>VLOOKUP(B2,$H$1:$K$20,3,FALSE)</f>
        <v>-74.152667580564398</v>
      </c>
      <c r="E2">
        <f>VLOOKUP(B2,$H$1:$K$20,4,FALSE)</f>
        <v>4.6303471220515098</v>
      </c>
      <c r="H2" t="s">
        <v>19</v>
      </c>
      <c r="I2" t="s">
        <v>60</v>
      </c>
      <c r="J2">
        <v>-74.102842336786907</v>
      </c>
      <c r="K2">
        <v>4.5887707178273196</v>
      </c>
    </row>
    <row r="3" spans="1:11" x14ac:dyDescent="0.25">
      <c r="A3">
        <v>11</v>
      </c>
      <c r="B3" t="s">
        <v>6</v>
      </c>
      <c r="C3">
        <v>907380</v>
      </c>
      <c r="D3">
        <f>VLOOKUP(B3,$H$1:$K$20,3,FALSE)</f>
        <v>-74.075845800487997</v>
      </c>
      <c r="E3">
        <f t="shared" ref="E3:E20" si="0">VLOOKUP(B3,$H$1:$K$20,4,FALSE)</f>
        <v>4.76320652488001</v>
      </c>
      <c r="H3" t="s">
        <v>15</v>
      </c>
      <c r="I3" t="s">
        <v>35</v>
      </c>
      <c r="J3">
        <v>-74.073551677463399</v>
      </c>
      <c r="K3">
        <v>4.6695668454366004</v>
      </c>
    </row>
    <row r="4" spans="1:11" x14ac:dyDescent="0.25">
      <c r="A4">
        <v>10</v>
      </c>
      <c r="B4" t="s">
        <v>7</v>
      </c>
      <c r="C4">
        <v>789840</v>
      </c>
      <c r="D4">
        <f>VLOOKUP(B4,$H$1:$K$20,3,FALSE)</f>
        <v>-74.113187148077898</v>
      </c>
      <c r="E4">
        <f t="shared" si="0"/>
        <v>4.70112526984326</v>
      </c>
      <c r="H4" t="s">
        <v>9</v>
      </c>
      <c r="I4" t="s">
        <v>36</v>
      </c>
      <c r="J4">
        <v>-74.194388716263504</v>
      </c>
      <c r="K4">
        <v>4.6217797878632698</v>
      </c>
    </row>
    <row r="5" spans="1:11" x14ac:dyDescent="0.25">
      <c r="A5">
        <v>19</v>
      </c>
      <c r="B5" t="s">
        <v>8</v>
      </c>
      <c r="C5">
        <v>564441</v>
      </c>
      <c r="D5">
        <f>VLOOKUP(B5,$H$1:$K$20,3,FALSE)</f>
        <v>-74.161960022510598</v>
      </c>
      <c r="E5">
        <f t="shared" si="0"/>
        <v>4.48245576116999</v>
      </c>
      <c r="H5" t="s">
        <v>22</v>
      </c>
      <c r="I5" t="s">
        <v>37</v>
      </c>
      <c r="J5">
        <v>-74.072070819324594</v>
      </c>
      <c r="K5">
        <v>4.59660507502144</v>
      </c>
    </row>
    <row r="6" spans="1:11" x14ac:dyDescent="0.25">
      <c r="A6">
        <v>7</v>
      </c>
      <c r="B6" t="s">
        <v>9</v>
      </c>
      <c r="C6">
        <v>499108</v>
      </c>
      <c r="D6">
        <f>VLOOKUP(B6,$H$1:$K$20,3,FALSE)</f>
        <v>-74.194388716263504</v>
      </c>
      <c r="E6">
        <f t="shared" si="0"/>
        <v>4.6217797878632698</v>
      </c>
      <c r="H6" t="s">
        <v>18</v>
      </c>
      <c r="I6" t="s">
        <v>38</v>
      </c>
      <c r="J6">
        <v>-74.036938848703201</v>
      </c>
      <c r="K6">
        <v>4.64492441542754</v>
      </c>
    </row>
    <row r="7" spans="1:11" x14ac:dyDescent="0.25">
      <c r="A7">
        <v>1</v>
      </c>
      <c r="B7" t="s">
        <v>10</v>
      </c>
      <c r="C7">
        <v>415099</v>
      </c>
      <c r="D7">
        <f>VLOOKUP(B7,$H$1:$K$20,3,FALSE)</f>
        <v>-74.027882368779103</v>
      </c>
      <c r="E7">
        <f t="shared" si="0"/>
        <v>4.7419260292461196</v>
      </c>
      <c r="H7" t="s">
        <v>8</v>
      </c>
      <c r="I7" t="s">
        <v>39</v>
      </c>
      <c r="J7">
        <v>-74.161960022510598</v>
      </c>
      <c r="K7">
        <v>4.48245576116999</v>
      </c>
    </row>
    <row r="8" spans="1:11" x14ac:dyDescent="0.25">
      <c r="A8">
        <v>4</v>
      </c>
      <c r="B8" t="s">
        <v>11</v>
      </c>
      <c r="C8">
        <v>400187</v>
      </c>
      <c r="D8">
        <f>VLOOKUP(B8,$H$1:$K$20,3,FALSE)</f>
        <v>-74.066072400776207</v>
      </c>
      <c r="E8">
        <f t="shared" si="0"/>
        <v>4.5487488041769897</v>
      </c>
      <c r="H8" t="s">
        <v>7</v>
      </c>
      <c r="I8" t="s">
        <v>40</v>
      </c>
      <c r="J8">
        <v>-74.113187148077898</v>
      </c>
      <c r="K8">
        <v>4.70112526984326</v>
      </c>
    </row>
    <row r="9" spans="1:11" x14ac:dyDescent="0.25">
      <c r="A9">
        <v>18</v>
      </c>
      <c r="B9" t="s">
        <v>29</v>
      </c>
      <c r="C9">
        <v>371504</v>
      </c>
      <c r="D9">
        <f>VLOOKUP(B9,$H$1:$K$20,3,FALSE)</f>
        <v>-74.113363102222095</v>
      </c>
      <c r="E9">
        <f t="shared" si="0"/>
        <v>4.5664766672516102</v>
      </c>
      <c r="H9" t="s">
        <v>13</v>
      </c>
      <c r="I9" t="s">
        <v>41</v>
      </c>
      <c r="J9">
        <v>-74.140150765275294</v>
      </c>
      <c r="K9">
        <v>4.6781827131162403</v>
      </c>
    </row>
    <row r="10" spans="1:11" x14ac:dyDescent="0.25">
      <c r="A10">
        <v>5</v>
      </c>
      <c r="B10" t="s">
        <v>12</v>
      </c>
      <c r="C10">
        <v>296824</v>
      </c>
      <c r="D10">
        <f>VLOOKUP(B10,$H$1:$K$20,3,FALSE)</f>
        <v>-74.142812024697704</v>
      </c>
      <c r="E10">
        <f t="shared" si="0"/>
        <v>4.3900190318873902</v>
      </c>
      <c r="H10" t="s">
        <v>5</v>
      </c>
      <c r="I10" t="s">
        <v>42</v>
      </c>
      <c r="J10">
        <v>-74.152667580564398</v>
      </c>
      <c r="K10">
        <v>4.6303471220515098</v>
      </c>
    </row>
    <row r="11" spans="1:11" x14ac:dyDescent="0.25">
      <c r="A11">
        <v>9</v>
      </c>
      <c r="B11" t="s">
        <v>13</v>
      </c>
      <c r="C11">
        <v>295840</v>
      </c>
      <c r="D11">
        <f>VLOOKUP(B11,$H$1:$K$20,3,FALSE)</f>
        <v>-74.140150765275294</v>
      </c>
      <c r="E11">
        <f t="shared" si="0"/>
        <v>4.6781827131162403</v>
      </c>
      <c r="H11" t="s">
        <v>21</v>
      </c>
      <c r="I11" t="s">
        <v>43</v>
      </c>
      <c r="J11">
        <v>-74.087947983810096</v>
      </c>
      <c r="K11">
        <v>4.6071559155114903</v>
      </c>
    </row>
    <row r="12" spans="1:11" x14ac:dyDescent="0.25">
      <c r="A12">
        <v>16</v>
      </c>
      <c r="B12" t="s">
        <v>14</v>
      </c>
      <c r="C12">
        <v>249279</v>
      </c>
      <c r="D12">
        <f>VLOOKUP(B12,$H$1:$K$20,3,FALSE)</f>
        <v>-74.111580402476093</v>
      </c>
      <c r="E12">
        <f t="shared" si="0"/>
        <v>4.6162453592553296</v>
      </c>
      <c r="H12" t="s">
        <v>14</v>
      </c>
      <c r="I12" t="s">
        <v>44</v>
      </c>
      <c r="J12">
        <v>-74.111580402476093</v>
      </c>
      <c r="K12">
        <v>4.6162453592553296</v>
      </c>
    </row>
    <row r="13" spans="1:11" x14ac:dyDescent="0.25">
      <c r="A13">
        <v>12</v>
      </c>
      <c r="B13" t="s">
        <v>15</v>
      </c>
      <c r="C13">
        <v>218880</v>
      </c>
      <c r="D13">
        <f>VLOOKUP(B13,$H$1:$K$20,3,FALSE)</f>
        <v>-74.073551677463399</v>
      </c>
      <c r="E13">
        <f t="shared" si="0"/>
        <v>4.6695668454366004</v>
      </c>
      <c r="H13" t="s">
        <v>29</v>
      </c>
      <c r="I13" t="s">
        <v>45</v>
      </c>
      <c r="J13">
        <v>-74.113363102222095</v>
      </c>
      <c r="K13">
        <v>4.5664766672516102</v>
      </c>
    </row>
    <row r="14" spans="1:11" x14ac:dyDescent="0.25">
      <c r="A14">
        <v>6</v>
      </c>
      <c r="B14" t="s">
        <v>16</v>
      </c>
      <c r="C14">
        <v>180738</v>
      </c>
      <c r="D14">
        <f>VLOOKUP(B14,$H$1:$K$20,3,FALSE)</f>
        <v>-74.135989244733693</v>
      </c>
      <c r="E14">
        <f t="shared" si="0"/>
        <v>4.5748411850953001</v>
      </c>
      <c r="H14" t="s">
        <v>11</v>
      </c>
      <c r="I14" t="s">
        <v>46</v>
      </c>
      <c r="J14">
        <v>-74.066072400776207</v>
      </c>
      <c r="K14">
        <v>4.5487488041769897</v>
      </c>
    </row>
    <row r="15" spans="1:11" x14ac:dyDescent="0.25">
      <c r="A15">
        <v>13</v>
      </c>
      <c r="B15" t="s">
        <v>17</v>
      </c>
      <c r="C15">
        <v>135325</v>
      </c>
      <c r="D15">
        <f>VLOOKUP(B15,$H$1:$K$20,3,FALSE)</f>
        <v>-74.085768890680001</v>
      </c>
      <c r="E15">
        <f t="shared" si="0"/>
        <v>4.6411735516069603</v>
      </c>
      <c r="H15" t="s">
        <v>20</v>
      </c>
      <c r="I15" t="s">
        <v>47</v>
      </c>
      <c r="J15">
        <v>-74.0362173927127</v>
      </c>
      <c r="K15">
        <v>4.5939727566360302</v>
      </c>
    </row>
    <row r="16" spans="1:11" x14ac:dyDescent="0.25">
      <c r="A16">
        <v>2</v>
      </c>
      <c r="B16" t="s">
        <v>18</v>
      </c>
      <c r="C16">
        <v>121307</v>
      </c>
      <c r="D16">
        <f>VLOOKUP(B16,$H$1:$K$20,3,FALSE)</f>
        <v>-74.036938848703201</v>
      </c>
      <c r="E16">
        <f t="shared" si="0"/>
        <v>4.64492441542754</v>
      </c>
      <c r="H16" t="s">
        <v>6</v>
      </c>
      <c r="I16" t="s">
        <v>48</v>
      </c>
      <c r="J16">
        <v>-74.075845800487997</v>
      </c>
      <c r="K16">
        <v>4.76320652488001</v>
      </c>
    </row>
    <row r="17" spans="1:11" x14ac:dyDescent="0.25">
      <c r="A17">
        <v>15</v>
      </c>
      <c r="B17" t="s">
        <v>19</v>
      </c>
      <c r="C17">
        <v>113969</v>
      </c>
      <c r="D17">
        <f>VLOOKUP(B17,$H$1:$K$20,3,FALSE)</f>
        <v>-74.102842336786907</v>
      </c>
      <c r="E17">
        <f t="shared" si="0"/>
        <v>4.5887707178273196</v>
      </c>
      <c r="H17" t="s">
        <v>17</v>
      </c>
      <c r="I17" t="s">
        <v>49</v>
      </c>
      <c r="J17">
        <v>-74.085768890680001</v>
      </c>
      <c r="K17">
        <v>4.6411735516069603</v>
      </c>
    </row>
    <row r="18" spans="1:11" x14ac:dyDescent="0.25">
      <c r="A18">
        <v>3</v>
      </c>
      <c r="B18" t="s">
        <v>20</v>
      </c>
      <c r="C18">
        <v>96046</v>
      </c>
      <c r="D18">
        <f>VLOOKUP(B18,$H$1:$K$20,3,FALSE)</f>
        <v>-74.0362173927127</v>
      </c>
      <c r="E18">
        <f t="shared" si="0"/>
        <v>4.5939727566360302</v>
      </c>
      <c r="H18" t="s">
        <v>16</v>
      </c>
      <c r="I18" t="s">
        <v>50</v>
      </c>
      <c r="J18">
        <v>-74.135989244733693</v>
      </c>
      <c r="K18">
        <v>4.5748411850953001</v>
      </c>
    </row>
    <row r="19" spans="1:11" x14ac:dyDescent="0.25">
      <c r="A19">
        <v>14</v>
      </c>
      <c r="B19" t="s">
        <v>21</v>
      </c>
      <c r="C19">
        <v>93245</v>
      </c>
      <c r="D19">
        <f>VLOOKUP(B19,$H$1:$K$20,3,FALSE)</f>
        <v>-74.087947983810096</v>
      </c>
      <c r="E19">
        <f t="shared" si="0"/>
        <v>4.6071559155114903</v>
      </c>
      <c r="H19" t="s">
        <v>10</v>
      </c>
      <c r="I19" t="s">
        <v>51</v>
      </c>
      <c r="J19">
        <v>-74.027882368779103</v>
      </c>
      <c r="K19">
        <v>4.7419260292461196</v>
      </c>
    </row>
    <row r="20" spans="1:11" x14ac:dyDescent="0.25">
      <c r="A20">
        <v>17</v>
      </c>
      <c r="B20" t="s">
        <v>22</v>
      </c>
      <c r="C20">
        <v>22298</v>
      </c>
      <c r="D20">
        <f>VLOOKUP(B20,$H$1:$K$20,3,FALSE)</f>
        <v>-74.072070819324594</v>
      </c>
      <c r="E20">
        <f t="shared" si="0"/>
        <v>4.59660507502144</v>
      </c>
      <c r="H20" t="s">
        <v>12</v>
      </c>
      <c r="I20" t="s">
        <v>52</v>
      </c>
      <c r="J20">
        <v>-74.142812024697704</v>
      </c>
      <c r="K20">
        <v>4.3900190318873902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4444-E3E5-4EC0-884F-A3B7706790E3}">
  <dimension ref="A1:B14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1</v>
      </c>
      <c r="B1" t="s">
        <v>33</v>
      </c>
    </row>
    <row r="2" spans="1:2" x14ac:dyDescent="0.25">
      <c r="A2">
        <v>2012</v>
      </c>
      <c r="B2">
        <v>7175553</v>
      </c>
    </row>
    <row r="3" spans="1:2" x14ac:dyDescent="0.25">
      <c r="A3">
        <v>2013</v>
      </c>
      <c r="B3">
        <v>7207289</v>
      </c>
    </row>
    <row r="4" spans="1:2" x14ac:dyDescent="0.25">
      <c r="A4">
        <v>2014</v>
      </c>
      <c r="B4">
        <v>7231097</v>
      </c>
    </row>
    <row r="5" spans="1:2" x14ac:dyDescent="0.25">
      <c r="A5">
        <v>2015</v>
      </c>
      <c r="B5">
        <v>7250675</v>
      </c>
    </row>
    <row r="6" spans="1:2" x14ac:dyDescent="0.25">
      <c r="A6">
        <v>2016</v>
      </c>
      <c r="B6">
        <v>7277543</v>
      </c>
    </row>
    <row r="7" spans="1:2" x14ac:dyDescent="0.25">
      <c r="A7">
        <v>2017</v>
      </c>
      <c r="B7">
        <v>7313244</v>
      </c>
    </row>
    <row r="8" spans="1:2" x14ac:dyDescent="0.25">
      <c r="A8">
        <v>2018</v>
      </c>
      <c r="B8">
        <v>7366187</v>
      </c>
    </row>
    <row r="9" spans="1:2" x14ac:dyDescent="0.25">
      <c r="A9">
        <v>2019</v>
      </c>
      <c r="B9">
        <v>7507403</v>
      </c>
    </row>
    <row r="10" spans="1:2" x14ac:dyDescent="0.25">
      <c r="A10">
        <v>2020</v>
      </c>
      <c r="B10">
        <v>7690578</v>
      </c>
    </row>
    <row r="11" spans="1:2" x14ac:dyDescent="0.25">
      <c r="A11">
        <v>2021</v>
      </c>
      <c r="B11">
        <v>7777174</v>
      </c>
    </row>
    <row r="12" spans="1:2" x14ac:dyDescent="0.25">
      <c r="A12">
        <v>2022</v>
      </c>
      <c r="B12">
        <v>7820740</v>
      </c>
    </row>
    <row r="13" spans="1:2" x14ac:dyDescent="0.25">
      <c r="A13">
        <v>2023</v>
      </c>
      <c r="B13">
        <v>7854783</v>
      </c>
    </row>
    <row r="14" spans="1:2" x14ac:dyDescent="0.25">
      <c r="A14">
        <v>2024</v>
      </c>
      <c r="B14">
        <v>7888813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472D-798E-447F-981E-08EAB31F56F5}">
  <dimension ref="A1:N210"/>
  <sheetViews>
    <sheetView workbookViewId="0">
      <selection activeCell="G194" sqref="G194"/>
    </sheetView>
  </sheetViews>
  <sheetFormatPr defaultRowHeight="15" x14ac:dyDescent="0.25"/>
  <cols>
    <col min="1" max="1" width="10.85546875" customWidth="1"/>
    <col min="4" max="4" width="27" customWidth="1"/>
    <col min="5" max="5" width="9.28515625" bestFit="1" customWidth="1"/>
    <col min="6" max="6" width="11.5703125" bestFit="1" customWidth="1"/>
    <col min="7" max="7" width="13.7109375" bestFit="1" customWidth="1"/>
    <col min="8" max="8" width="9.28515625" bestFit="1" customWidth="1"/>
  </cols>
  <sheetData>
    <row r="1" spans="1:14" x14ac:dyDescent="0.25">
      <c r="A1" t="s">
        <v>64</v>
      </c>
      <c r="B1" t="s">
        <v>1</v>
      </c>
      <c r="C1" t="s">
        <v>55</v>
      </c>
      <c r="D1" t="s">
        <v>24</v>
      </c>
      <c r="E1" t="s">
        <v>56</v>
      </c>
      <c r="F1" t="s">
        <v>57</v>
      </c>
      <c r="G1" t="s">
        <v>33</v>
      </c>
      <c r="H1" t="s">
        <v>2</v>
      </c>
      <c r="M1" t="s">
        <v>54</v>
      </c>
      <c r="N1" t="s">
        <v>53</v>
      </c>
    </row>
    <row r="2" spans="1:14" x14ac:dyDescent="0.25">
      <c r="A2" t="str">
        <f>D2&amp;B2</f>
        <v>Antonio Nariño2014</v>
      </c>
      <c r="B2">
        <v>2014</v>
      </c>
      <c r="C2" t="s">
        <v>34</v>
      </c>
      <c r="D2" t="str" cm="1">
        <f t="array" ref="D2">VLOOKUP(C2:C2,$M$1:$N$20,2,FALSE)</f>
        <v>Antonio Nariño</v>
      </c>
      <c r="E2" s="2">
        <v>1.22885256228186E-2</v>
      </c>
      <c r="F2" s="4">
        <v>753.77238609665096</v>
      </c>
      <c r="G2" s="4">
        <v>7231097</v>
      </c>
      <c r="H2" s="2">
        <v>0.104240392031341</v>
      </c>
      <c r="M2" t="s">
        <v>34</v>
      </c>
      <c r="N2" t="s">
        <v>19</v>
      </c>
    </row>
    <row r="3" spans="1:14" x14ac:dyDescent="0.25">
      <c r="A3" t="str">
        <f t="shared" ref="A3:A66" si="0">D3&amp;B3</f>
        <v>Barrios Unidos2014</v>
      </c>
      <c r="B3">
        <v>2014</v>
      </c>
      <c r="C3" t="s">
        <v>35</v>
      </c>
      <c r="D3" t="str" cm="1">
        <f t="array" ref="D3">VLOOKUP(C3:C3,$M$1:$N$20,2,FALSE)</f>
        <v>Barrios Unidos</v>
      </c>
      <c r="E3" s="2">
        <v>1.26580470262547E-2</v>
      </c>
      <c r="F3" s="4">
        <v>776.43865530836104</v>
      </c>
      <c r="G3" s="4">
        <v>7231097</v>
      </c>
      <c r="H3" s="2">
        <v>0.107374946748517</v>
      </c>
      <c r="M3" t="s">
        <v>35</v>
      </c>
      <c r="N3" t="s">
        <v>15</v>
      </c>
    </row>
    <row r="4" spans="1:14" x14ac:dyDescent="0.25">
      <c r="A4" t="str">
        <f t="shared" si="0"/>
        <v>Bosa2014</v>
      </c>
      <c r="B4">
        <v>2014</v>
      </c>
      <c r="C4" t="s">
        <v>36</v>
      </c>
      <c r="D4" t="str" cm="1">
        <f t="array" ref="D4">VLOOKUP(C4:C4,$M$1:$N$20,2,FALSE)</f>
        <v>Bosa</v>
      </c>
      <c r="E4" s="2">
        <v>9.0925183672490403E-2</v>
      </c>
      <c r="F4" s="4">
        <v>5577.3080316342403</v>
      </c>
      <c r="G4" s="4">
        <v>7231097</v>
      </c>
      <c r="H4" s="2">
        <v>0.77129487152976095</v>
      </c>
      <c r="M4" t="s">
        <v>36</v>
      </c>
      <c r="N4" t="s">
        <v>9</v>
      </c>
    </row>
    <row r="5" spans="1:14" x14ac:dyDescent="0.25">
      <c r="A5" t="str">
        <f t="shared" si="0"/>
        <v>La Candelaria2014</v>
      </c>
      <c r="B5">
        <v>2014</v>
      </c>
      <c r="C5" t="s">
        <v>37</v>
      </c>
      <c r="D5" t="str" cm="1">
        <f t="array" ref="D5">VLOOKUP(C5:C5,$M$1:$N$20,2,FALSE)</f>
        <v>La Candelaria</v>
      </c>
      <c r="E5" s="2">
        <v>3.5761551600176598E-3</v>
      </c>
      <c r="F5" s="4">
        <v>219.35967672255799</v>
      </c>
      <c r="G5" s="4">
        <v>7231097</v>
      </c>
      <c r="H5" s="2">
        <v>3.03356014616535E-2</v>
      </c>
      <c r="M5" t="s">
        <v>37</v>
      </c>
      <c r="N5" t="s">
        <v>22</v>
      </c>
    </row>
    <row r="6" spans="1:14" x14ac:dyDescent="0.25">
      <c r="A6" t="str">
        <f t="shared" si="0"/>
        <v>Chapinero2014</v>
      </c>
      <c r="B6">
        <v>2014</v>
      </c>
      <c r="C6" t="s">
        <v>38</v>
      </c>
      <c r="D6" t="str" cm="1">
        <f t="array" ref="D6">VLOOKUP(C6:C6,$M$1:$N$20,2,FALSE)</f>
        <v>Chapinero</v>
      </c>
      <c r="E6" s="2">
        <v>1.7969647255986099E-2</v>
      </c>
      <c r="F6" s="4">
        <v>1102.24971694798</v>
      </c>
      <c r="G6" s="4">
        <v>7231097</v>
      </c>
      <c r="H6" s="2">
        <v>0.15243188093701099</v>
      </c>
      <c r="M6" t="s">
        <v>38</v>
      </c>
      <c r="N6" t="s">
        <v>18</v>
      </c>
    </row>
    <row r="7" spans="1:14" x14ac:dyDescent="0.25">
      <c r="A7" t="str">
        <f t="shared" si="0"/>
        <v>Ciudad Bolívar2014</v>
      </c>
      <c r="B7">
        <v>2014</v>
      </c>
      <c r="C7" t="s">
        <v>39</v>
      </c>
      <c r="D7" t="str" cm="1">
        <f t="array" ref="D7">VLOOKUP(C7:C7,$M$1:$N$20,2,FALSE)</f>
        <v>Ciudad Bolívar</v>
      </c>
      <c r="E7" s="2">
        <v>9.2577600182282505E-2</v>
      </c>
      <c r="F7" s="4">
        <v>5678.6664837091303</v>
      </c>
      <c r="G7" s="4">
        <v>7231097</v>
      </c>
      <c r="H7" s="2">
        <v>0.78531189440677196</v>
      </c>
      <c r="M7" t="s">
        <v>39</v>
      </c>
      <c r="N7" t="s">
        <v>8</v>
      </c>
    </row>
    <row r="8" spans="1:14" x14ac:dyDescent="0.25">
      <c r="A8" t="str">
        <f t="shared" si="0"/>
        <v>Engativá2014</v>
      </c>
      <c r="B8">
        <v>2014</v>
      </c>
      <c r="C8" t="s">
        <v>40</v>
      </c>
      <c r="D8" t="str" cm="1">
        <f t="array" ref="D8">VLOOKUP(C8:C8,$M$1:$N$20,2,FALSE)</f>
        <v>Engativá</v>
      </c>
      <c r="E8" s="2">
        <v>9.3705615277787202E-2</v>
      </c>
      <c r="F8" s="4">
        <v>5747.85839950029</v>
      </c>
      <c r="G8" s="4">
        <v>7231097</v>
      </c>
      <c r="H8" s="2">
        <v>0.79488055539848002</v>
      </c>
      <c r="M8" t="s">
        <v>40</v>
      </c>
      <c r="N8" t="s">
        <v>7</v>
      </c>
    </row>
    <row r="9" spans="1:14" x14ac:dyDescent="0.25">
      <c r="A9" t="str">
        <f t="shared" si="0"/>
        <v>Fontibón2014</v>
      </c>
      <c r="B9">
        <v>2014</v>
      </c>
      <c r="C9" t="s">
        <v>41</v>
      </c>
      <c r="D9" t="str" cm="1">
        <f t="array" ref="D9">VLOOKUP(C9:C9,$M$1:$N$20,2,FALSE)</f>
        <v>Fontibón</v>
      </c>
      <c r="E9" s="2">
        <v>4.1206452691570201E-2</v>
      </c>
      <c r="F9" s="4">
        <v>2527.5844410681502</v>
      </c>
      <c r="G9" s="4">
        <v>7231097</v>
      </c>
      <c r="H9" s="2">
        <v>0.34954370561868497</v>
      </c>
      <c r="M9" t="s">
        <v>41</v>
      </c>
      <c r="N9" t="s">
        <v>13</v>
      </c>
    </row>
    <row r="10" spans="1:14" x14ac:dyDescent="0.25">
      <c r="A10" t="str">
        <f t="shared" si="0"/>
        <v>Kennedy2014</v>
      </c>
      <c r="B10">
        <v>2014</v>
      </c>
      <c r="C10" t="s">
        <v>42</v>
      </c>
      <c r="D10" t="str" cm="1">
        <f t="array" ref="D10">VLOOKUP(C10:C10,$M$1:$N$20,2,FALSE)</f>
        <v>Kennedy</v>
      </c>
      <c r="E10" s="2">
        <v>0.14332416022009201</v>
      </c>
      <c r="F10" s="4">
        <v>8791.4366255451496</v>
      </c>
      <c r="G10" s="4">
        <v>7231097</v>
      </c>
      <c r="H10" s="2">
        <v>1.2157818689951401</v>
      </c>
      <c r="M10" t="s">
        <v>42</v>
      </c>
      <c r="N10" t="s">
        <v>5</v>
      </c>
    </row>
    <row r="11" spans="1:14" x14ac:dyDescent="0.25">
      <c r="A11" t="str">
        <f t="shared" si="0"/>
        <v>Los Mártires2014</v>
      </c>
      <c r="B11">
        <v>2014</v>
      </c>
      <c r="C11" t="s">
        <v>43</v>
      </c>
      <c r="D11" t="str" cm="1">
        <f t="array" ref="D11">VLOOKUP(C11:C11,$M$1:$N$20,2,FALSE)</f>
        <v>Los Mártires</v>
      </c>
      <c r="E11" s="2">
        <v>3.6073502938253003E-2</v>
      </c>
      <c r="F11" s="4">
        <v>2212.7317156860599</v>
      </c>
      <c r="G11" s="4">
        <v>7231097</v>
      </c>
      <c r="H11" s="2">
        <v>0.306002217324157</v>
      </c>
      <c r="M11" t="s">
        <v>43</v>
      </c>
      <c r="N11" t="s">
        <v>21</v>
      </c>
    </row>
    <row r="12" spans="1:14" x14ac:dyDescent="0.25">
      <c r="A12" t="str">
        <f t="shared" si="0"/>
        <v>Puente Aranda2014</v>
      </c>
      <c r="B12">
        <v>2014</v>
      </c>
      <c r="C12" t="s">
        <v>44</v>
      </c>
      <c r="D12" t="str" cm="1">
        <f t="array" ref="D12">VLOOKUP(C12:C12,$M$1:$N$20,2,FALSE)</f>
        <v>Puente Aranda</v>
      </c>
      <c r="E12" s="2">
        <v>1.44619624714911E-2</v>
      </c>
      <c r="F12" s="4">
        <v>887.08998087890495</v>
      </c>
      <c r="G12" s="4">
        <v>7231097</v>
      </c>
      <c r="H12" s="2">
        <v>0.122677096003401</v>
      </c>
      <c r="M12" t="s">
        <v>44</v>
      </c>
      <c r="N12" t="s">
        <v>14</v>
      </c>
    </row>
    <row r="13" spans="1:14" x14ac:dyDescent="0.25">
      <c r="A13" t="str">
        <f t="shared" si="0"/>
        <v>Rafael Uribe2014</v>
      </c>
      <c r="B13">
        <v>2014</v>
      </c>
      <c r="C13" t="s">
        <v>45</v>
      </c>
      <c r="D13" t="str" cm="1">
        <f t="array" ref="D13">VLOOKUP(C13:C13,$M$1:$N$20,2,FALSE)</f>
        <v>Rafael Uribe</v>
      </c>
      <c r="E13" s="2">
        <v>5.5886035667316897E-2</v>
      </c>
      <c r="F13" s="4">
        <v>3428.0231613964602</v>
      </c>
      <c r="G13" s="4">
        <v>7231097</v>
      </c>
      <c r="H13" s="2">
        <v>0.47406682020673402</v>
      </c>
      <c r="M13" t="s">
        <v>45</v>
      </c>
      <c r="N13" t="s">
        <v>29</v>
      </c>
    </row>
    <row r="14" spans="1:14" x14ac:dyDescent="0.25">
      <c r="A14" t="str">
        <f t="shared" si="0"/>
        <v>San Cristóbal2014</v>
      </c>
      <c r="B14">
        <v>2014</v>
      </c>
      <c r="C14" t="s">
        <v>46</v>
      </c>
      <c r="D14" t="str" cm="1">
        <f t="array" ref="D14">VLOOKUP(C14:C14,$M$1:$N$20,2,FALSE)</f>
        <v>San Cristóbal</v>
      </c>
      <c r="E14" s="2">
        <v>2.4911066458412099E-2</v>
      </c>
      <c r="F14" s="4">
        <v>1528.0331083577601</v>
      </c>
      <c r="G14" s="4">
        <v>7231097</v>
      </c>
      <c r="H14" s="2">
        <v>0.21131414892619499</v>
      </c>
      <c r="M14" t="s">
        <v>46</v>
      </c>
      <c r="N14" t="s">
        <v>11</v>
      </c>
    </row>
    <row r="15" spans="1:14" x14ac:dyDescent="0.25">
      <c r="A15" t="str">
        <f t="shared" si="0"/>
        <v>Santa Fe2014</v>
      </c>
      <c r="B15">
        <v>2014</v>
      </c>
      <c r="C15" t="s">
        <v>47</v>
      </c>
      <c r="D15" t="str" cm="1">
        <f t="array" ref="D15">VLOOKUP(C15:C15,$M$1:$N$20,2,FALSE)</f>
        <v>Santa Fe</v>
      </c>
      <c r="E15" s="2">
        <v>1.8462958503703698E-2</v>
      </c>
      <c r="F15" s="4">
        <v>1132.5091970266899</v>
      </c>
      <c r="G15" s="4">
        <v>7231097</v>
      </c>
      <c r="H15" s="2">
        <v>0.156616512961545</v>
      </c>
      <c r="M15" t="s">
        <v>47</v>
      </c>
      <c r="N15" t="s">
        <v>20</v>
      </c>
    </row>
    <row r="16" spans="1:14" x14ac:dyDescent="0.25">
      <c r="A16" t="str">
        <f t="shared" si="0"/>
        <v>Suba2014</v>
      </c>
      <c r="B16">
        <v>2014</v>
      </c>
      <c r="C16" t="s">
        <v>48</v>
      </c>
      <c r="D16" t="str" cm="1">
        <f t="array" ref="D16">VLOOKUP(C16:C16,$M$1:$N$20,2,FALSE)</f>
        <v>Suba</v>
      </c>
      <c r="E16" s="2">
        <v>0.16623126420791901</v>
      </c>
      <c r="F16" s="4">
        <v>10196.5476178195</v>
      </c>
      <c r="G16" s="4">
        <v>7231097</v>
      </c>
      <c r="H16" s="2">
        <v>1.4100969213688499</v>
      </c>
      <c r="M16" t="s">
        <v>48</v>
      </c>
      <c r="N16" t="s">
        <v>6</v>
      </c>
    </row>
    <row r="17" spans="1:14" x14ac:dyDescent="0.25">
      <c r="A17" t="str">
        <f t="shared" si="0"/>
        <v>Teusaquillo2014</v>
      </c>
      <c r="B17">
        <v>2014</v>
      </c>
      <c r="C17" t="s">
        <v>49</v>
      </c>
      <c r="D17" t="str" cm="1">
        <f t="array" ref="D17">VLOOKUP(C17:C17,$M$1:$N$20,2,FALSE)</f>
        <v>Teusaquillo</v>
      </c>
      <c r="E17" s="2">
        <v>9.8167859237632705E-3</v>
      </c>
      <c r="F17" s="4">
        <v>602.15703467425499</v>
      </c>
      <c r="G17" s="4">
        <v>7231097</v>
      </c>
      <c r="H17" s="2">
        <v>8.3273261951022706E-2</v>
      </c>
      <c r="M17" t="s">
        <v>49</v>
      </c>
      <c r="N17" t="s">
        <v>17</v>
      </c>
    </row>
    <row r="18" spans="1:14" x14ac:dyDescent="0.25">
      <c r="A18" t="str">
        <f t="shared" si="0"/>
        <v>Tunjuelito2014</v>
      </c>
      <c r="B18">
        <v>2014</v>
      </c>
      <c r="C18" t="s">
        <v>50</v>
      </c>
      <c r="D18" t="str" cm="1">
        <f t="array" ref="D18">VLOOKUP(C18:C18,$M$1:$N$20,2,FALSE)</f>
        <v>Tunjuelito</v>
      </c>
      <c r="E18" s="2">
        <v>2.6661532008366299E-2</v>
      </c>
      <c r="F18" s="4">
        <v>1635.40584247314</v>
      </c>
      <c r="G18" s="4">
        <v>7231097</v>
      </c>
      <c r="H18" s="2">
        <v>0.22616289651115801</v>
      </c>
      <c r="M18" t="s">
        <v>50</v>
      </c>
      <c r="N18" t="s">
        <v>16</v>
      </c>
    </row>
    <row r="19" spans="1:14" x14ac:dyDescent="0.25">
      <c r="A19" t="str">
        <f t="shared" si="0"/>
        <v>Usaquén2014</v>
      </c>
      <c r="B19">
        <v>2014</v>
      </c>
      <c r="C19" t="s">
        <v>51</v>
      </c>
      <c r="D19" t="str" cm="1">
        <f t="array" ref="D19">VLOOKUP(C19:C19,$M$1:$N$20,2,FALSE)</f>
        <v>Usaquén</v>
      </c>
      <c r="E19" s="2">
        <v>8.6347049543513105E-2</v>
      </c>
      <c r="F19" s="4">
        <v>5296.4874358858096</v>
      </c>
      <c r="G19" s="4">
        <v>7231097</v>
      </c>
      <c r="H19" s="2">
        <v>0.73245974101658595</v>
      </c>
      <c r="M19" t="s">
        <v>51</v>
      </c>
      <c r="N19" t="s">
        <v>10</v>
      </c>
    </row>
    <row r="20" spans="1:14" x14ac:dyDescent="0.25">
      <c r="A20" t="str">
        <f t="shared" si="0"/>
        <v>Usme2014</v>
      </c>
      <c r="B20">
        <v>2014</v>
      </c>
      <c r="C20" t="s">
        <v>52</v>
      </c>
      <c r="D20" t="str" cm="1">
        <f t="array" ref="D20">VLOOKUP(C20:C20,$M$1:$N$20,2,FALSE)</f>
        <v>Usme</v>
      </c>
      <c r="E20" s="2">
        <v>5.2756977512126997E-2</v>
      </c>
      <c r="F20" s="4">
        <v>3236.0882048144399</v>
      </c>
      <c r="G20" s="4">
        <v>7231097</v>
      </c>
      <c r="H20" s="2">
        <v>0.44752382727191198</v>
      </c>
      <c r="M20" t="s">
        <v>52</v>
      </c>
      <c r="N20" t="s">
        <v>12</v>
      </c>
    </row>
    <row r="21" spans="1:14" x14ac:dyDescent="0.25">
      <c r="A21" t="str">
        <f t="shared" si="0"/>
        <v>Antonio Nariño2015</v>
      </c>
      <c r="B21">
        <v>2015</v>
      </c>
      <c r="C21" t="s">
        <v>34</v>
      </c>
      <c r="D21" t="str" cm="1">
        <f t="array" ref="D21">VLOOKUP(C21:C21,$M$1:$N$20,2,FALSE)</f>
        <v>Antonio Nariño</v>
      </c>
      <c r="E21" s="2">
        <v>1.22885256228186E-2</v>
      </c>
      <c r="F21" s="4">
        <v>848.87746399035495</v>
      </c>
      <c r="G21" s="4">
        <v>7250675</v>
      </c>
      <c r="H21" s="2">
        <v>0.117075646610882</v>
      </c>
    </row>
    <row r="22" spans="1:14" x14ac:dyDescent="0.25">
      <c r="A22" t="str">
        <f t="shared" si="0"/>
        <v>Barrios Unidos2015</v>
      </c>
      <c r="B22">
        <v>2015</v>
      </c>
      <c r="C22" t="s">
        <v>35</v>
      </c>
      <c r="D22" t="str" cm="1">
        <f t="array" ref="D22">VLOOKUP(C22:C22,$M$1:$N$20,2,FALSE)</f>
        <v>Barrios Unidos</v>
      </c>
      <c r="E22" s="2">
        <v>1.26580470262547E-2</v>
      </c>
      <c r="F22" s="4">
        <v>874.40358498053502</v>
      </c>
      <c r="G22" s="4">
        <v>7250675</v>
      </c>
      <c r="H22" s="2">
        <v>0.120596163113163</v>
      </c>
    </row>
    <row r="23" spans="1:14" x14ac:dyDescent="0.25">
      <c r="A23" t="str">
        <f t="shared" si="0"/>
        <v>Bosa2015</v>
      </c>
      <c r="B23">
        <v>2015</v>
      </c>
      <c r="C23" t="s">
        <v>36</v>
      </c>
      <c r="D23" t="str" cm="1">
        <f t="array" ref="D23">VLOOKUP(C23:C23,$M$1:$N$20,2,FALSE)</f>
        <v>Bosa</v>
      </c>
      <c r="E23" s="2">
        <v>9.0925183672490403E-2</v>
      </c>
      <c r="F23" s="4">
        <v>6281.00894263809</v>
      </c>
      <c r="G23" s="4">
        <v>7250675</v>
      </c>
      <c r="H23" s="2">
        <v>0.86626540875685198</v>
      </c>
    </row>
    <row r="24" spans="1:14" x14ac:dyDescent="0.25">
      <c r="A24" t="str">
        <f t="shared" si="0"/>
        <v>La Candelaria2015</v>
      </c>
      <c r="B24">
        <v>2015</v>
      </c>
      <c r="C24" t="s">
        <v>37</v>
      </c>
      <c r="D24" t="str" cm="1">
        <f t="array" ref="D24">VLOOKUP(C24:C24,$M$1:$N$20,2,FALSE)</f>
        <v>La Candelaria</v>
      </c>
      <c r="E24" s="2">
        <v>3.5761551600176598E-3</v>
      </c>
      <c r="F24" s="4">
        <v>247.03675739868899</v>
      </c>
      <c r="G24" s="4">
        <v>7250675</v>
      </c>
      <c r="H24" s="2">
        <v>3.4070863388400298E-2</v>
      </c>
    </row>
    <row r="25" spans="1:14" x14ac:dyDescent="0.25">
      <c r="A25" t="str">
        <f t="shared" si="0"/>
        <v>Chapinero2015</v>
      </c>
      <c r="B25">
        <v>2015</v>
      </c>
      <c r="C25" t="s">
        <v>38</v>
      </c>
      <c r="D25" t="str" cm="1">
        <f t="array" ref="D25">VLOOKUP(C25:C25,$M$1:$N$20,2,FALSE)</f>
        <v>Chapinero</v>
      </c>
      <c r="E25" s="2">
        <v>1.7969647255986099E-2</v>
      </c>
      <c r="F25" s="4">
        <v>1241.32292674212</v>
      </c>
      <c r="G25" s="4">
        <v>7250675</v>
      </c>
      <c r="H25" s="2">
        <v>0.17120101600776799</v>
      </c>
    </row>
    <row r="26" spans="1:14" x14ac:dyDescent="0.25">
      <c r="A26" t="str">
        <f t="shared" si="0"/>
        <v>Ciudad Bolívar2015</v>
      </c>
      <c r="B26">
        <v>2015</v>
      </c>
      <c r="C26" t="s">
        <v>39</v>
      </c>
      <c r="D26" t="str" cm="1">
        <f t="array" ref="D26">VLOOKUP(C26:C26,$M$1:$N$20,2,FALSE)</f>
        <v>Ciudad Bolívar</v>
      </c>
      <c r="E26" s="2">
        <v>9.2577600182282505E-2</v>
      </c>
      <c r="F26" s="4">
        <v>6395.15600790387</v>
      </c>
      <c r="G26" s="4">
        <v>7250675</v>
      </c>
      <c r="H26" s="2">
        <v>0.88200836582854303</v>
      </c>
    </row>
    <row r="27" spans="1:14" x14ac:dyDescent="0.25">
      <c r="A27" t="str">
        <f t="shared" si="0"/>
        <v>Engativá2015</v>
      </c>
      <c r="B27">
        <v>2015</v>
      </c>
      <c r="C27" t="s">
        <v>40</v>
      </c>
      <c r="D27" t="str" cm="1">
        <f t="array" ref="D27">VLOOKUP(C27:C27,$M$1:$N$20,2,FALSE)</f>
        <v>Engativá</v>
      </c>
      <c r="E27" s="2">
        <v>9.3705615277787202E-2</v>
      </c>
      <c r="F27" s="4">
        <v>6473.07801604427</v>
      </c>
      <c r="G27" s="4">
        <v>7250675</v>
      </c>
      <c r="H27" s="2">
        <v>0.89275522845035504</v>
      </c>
    </row>
    <row r="28" spans="1:14" x14ac:dyDescent="0.25">
      <c r="A28" t="str">
        <f t="shared" si="0"/>
        <v>Fontibón2015</v>
      </c>
      <c r="B28">
        <v>2015</v>
      </c>
      <c r="C28" t="s">
        <v>41</v>
      </c>
      <c r="D28" t="str" cm="1">
        <f t="array" ref="D28">VLOOKUP(C28:C28,$M$1:$N$20,2,FALSE)</f>
        <v>Fontibón</v>
      </c>
      <c r="E28" s="2">
        <v>4.1206452691570201E-2</v>
      </c>
      <c r="F28" s="4">
        <v>2846.49518864213</v>
      </c>
      <c r="G28" s="4">
        <v>7250675</v>
      </c>
      <c r="H28" s="2">
        <v>0.39258347514433201</v>
      </c>
    </row>
    <row r="29" spans="1:14" x14ac:dyDescent="0.25">
      <c r="A29" t="str">
        <f t="shared" si="0"/>
        <v>Kennedy2015</v>
      </c>
      <c r="B29">
        <v>2015</v>
      </c>
      <c r="C29" t="s">
        <v>42</v>
      </c>
      <c r="D29" t="str" cm="1">
        <f t="array" ref="D29">VLOOKUP(C29:C29,$M$1:$N$20,2,FALSE)</f>
        <v>Kennedy</v>
      </c>
      <c r="E29" s="2">
        <v>0.14332416022009201</v>
      </c>
      <c r="F29" s="4">
        <v>9900.6710317029192</v>
      </c>
      <c r="G29" s="4">
        <v>7250675</v>
      </c>
      <c r="H29" s="2">
        <v>1.3654826663314701</v>
      </c>
    </row>
    <row r="30" spans="1:14" x14ac:dyDescent="0.25">
      <c r="A30" t="str">
        <f t="shared" si="0"/>
        <v>Los Mártires2015</v>
      </c>
      <c r="B30">
        <v>2015</v>
      </c>
      <c r="C30" t="s">
        <v>43</v>
      </c>
      <c r="D30" t="str" cm="1">
        <f t="array" ref="D30">VLOOKUP(C30:C30,$M$1:$N$20,2,FALSE)</f>
        <v>Los Mártires</v>
      </c>
      <c r="E30" s="2">
        <v>3.6073502938253003E-2</v>
      </c>
      <c r="F30" s="4">
        <v>2491.9168199162</v>
      </c>
      <c r="G30" s="4">
        <v>7250675</v>
      </c>
      <c r="H30" s="2">
        <v>0.343680666960828</v>
      </c>
    </row>
    <row r="31" spans="1:14" x14ac:dyDescent="0.25">
      <c r="A31" t="str">
        <f t="shared" si="0"/>
        <v>Puente Aranda2015</v>
      </c>
      <c r="B31">
        <v>2015</v>
      </c>
      <c r="C31" t="s">
        <v>44</v>
      </c>
      <c r="D31" t="str" cm="1">
        <f t="array" ref="D31">VLOOKUP(C31:C31,$M$1:$N$20,2,FALSE)</f>
        <v>Puente Aranda</v>
      </c>
      <c r="E31" s="2">
        <v>1.44619624714911E-2</v>
      </c>
      <c r="F31" s="4">
        <v>999.01602551301505</v>
      </c>
      <c r="G31" s="4">
        <v>7250675</v>
      </c>
      <c r="H31" s="2">
        <v>0.13778248583932001</v>
      </c>
    </row>
    <row r="32" spans="1:14" x14ac:dyDescent="0.25">
      <c r="A32" t="str">
        <f t="shared" si="0"/>
        <v>Rafael Uribe2015</v>
      </c>
      <c r="B32">
        <v>2015</v>
      </c>
      <c r="C32" t="s">
        <v>45</v>
      </c>
      <c r="D32" t="str" cm="1">
        <f t="array" ref="D32">VLOOKUP(C32:C32,$M$1:$N$20,2,FALSE)</f>
        <v>Rafael Uribe</v>
      </c>
      <c r="E32" s="2">
        <v>5.5886035667316897E-2</v>
      </c>
      <c r="F32" s="4">
        <v>3860.5441926779499</v>
      </c>
      <c r="G32" s="4">
        <v>7250675</v>
      </c>
      <c r="H32" s="2">
        <v>0.53243928222930303</v>
      </c>
    </row>
    <row r="33" spans="1:8" x14ac:dyDescent="0.25">
      <c r="A33" t="str">
        <f t="shared" si="0"/>
        <v>San Cristóbal2015</v>
      </c>
      <c r="B33">
        <v>2015</v>
      </c>
      <c r="C33" t="s">
        <v>46</v>
      </c>
      <c r="D33" t="str" cm="1">
        <f t="array" ref="D33">VLOOKUP(C33:C33,$M$1:$N$20,2,FALSE)</f>
        <v>San Cristóbal</v>
      </c>
      <c r="E33" s="2">
        <v>2.4911066458412099E-2</v>
      </c>
      <c r="F33" s="4">
        <v>1720.8283214420101</v>
      </c>
      <c r="G33" s="4">
        <v>7250675</v>
      </c>
      <c r="H33" s="2">
        <v>0.23733353397332099</v>
      </c>
    </row>
    <row r="34" spans="1:8" x14ac:dyDescent="0.25">
      <c r="A34" t="str">
        <f t="shared" si="0"/>
        <v>Santa Fe2015</v>
      </c>
      <c r="B34">
        <v>2015</v>
      </c>
      <c r="C34" t="s">
        <v>47</v>
      </c>
      <c r="D34" t="str" cm="1">
        <f t="array" ref="D34">VLOOKUP(C34:C34,$M$1:$N$20,2,FALSE)</f>
        <v>Santa Fe</v>
      </c>
      <c r="E34" s="2">
        <v>1.8462958503703698E-2</v>
      </c>
      <c r="F34" s="4">
        <v>1275.40031029274</v>
      </c>
      <c r="G34" s="4">
        <v>7250675</v>
      </c>
      <c r="H34" s="2">
        <v>0.17590090719729401</v>
      </c>
    </row>
    <row r="35" spans="1:8" x14ac:dyDescent="0.25">
      <c r="A35" t="str">
        <f t="shared" si="0"/>
        <v>Suba2015</v>
      </c>
      <c r="B35">
        <v>2015</v>
      </c>
      <c r="C35" t="s">
        <v>48</v>
      </c>
      <c r="D35" t="str" cm="1">
        <f t="array" ref="D35">VLOOKUP(C35:C35,$M$1:$N$20,2,FALSE)</f>
        <v>Suba</v>
      </c>
      <c r="E35" s="2">
        <v>0.16623126420791901</v>
      </c>
      <c r="F35" s="4">
        <v>11483.0678901545</v>
      </c>
      <c r="G35" s="4">
        <v>7250675</v>
      </c>
      <c r="H35" s="2">
        <v>1.5837239829608201</v>
      </c>
    </row>
    <row r="36" spans="1:8" x14ac:dyDescent="0.25">
      <c r="A36" t="str">
        <f t="shared" si="0"/>
        <v>Teusaquillo2015</v>
      </c>
      <c r="B36">
        <v>2015</v>
      </c>
      <c r="C36" t="s">
        <v>49</v>
      </c>
      <c r="D36" t="str" cm="1">
        <f t="array" ref="D36">VLOOKUP(C36:C36,$M$1:$N$20,2,FALSE)</f>
        <v>Teusaquillo</v>
      </c>
      <c r="E36" s="2">
        <v>9.8167859237632705E-3</v>
      </c>
      <c r="F36" s="4">
        <v>678.13247864547304</v>
      </c>
      <c r="G36" s="4">
        <v>7250675</v>
      </c>
      <c r="H36" s="2">
        <v>9.3526806627724002E-2</v>
      </c>
    </row>
    <row r="37" spans="1:8" x14ac:dyDescent="0.25">
      <c r="A37" t="str">
        <f t="shared" si="0"/>
        <v>Tunjuelito2015</v>
      </c>
      <c r="B37">
        <v>2015</v>
      </c>
      <c r="C37" t="s">
        <v>50</v>
      </c>
      <c r="D37" t="str" cm="1">
        <f t="array" ref="D37">VLOOKUP(C37:C37,$M$1:$N$20,2,FALSE)</f>
        <v>Tunjuelito</v>
      </c>
      <c r="E37" s="2">
        <v>2.6661532008366299E-2</v>
      </c>
      <c r="F37" s="4">
        <v>1841.7485036067701</v>
      </c>
      <c r="G37" s="4">
        <v>7250675</v>
      </c>
      <c r="H37" s="2">
        <v>0.25401062709427402</v>
      </c>
    </row>
    <row r="38" spans="1:8" x14ac:dyDescent="0.25">
      <c r="A38" t="str">
        <f t="shared" si="0"/>
        <v>Usaquén2015</v>
      </c>
      <c r="B38">
        <v>2015</v>
      </c>
      <c r="C38" t="s">
        <v>51</v>
      </c>
      <c r="D38" t="str" cm="1">
        <f t="array" ref="D38">VLOOKUP(C38:C38,$M$1:$N$20,2,FALSE)</f>
        <v>Usaquén</v>
      </c>
      <c r="E38" s="2">
        <v>8.6347049543513105E-2</v>
      </c>
      <c r="F38" s="4">
        <v>5964.7566102998999</v>
      </c>
      <c r="G38" s="4">
        <v>7250675</v>
      </c>
      <c r="H38" s="2">
        <v>0.82264845828835298</v>
      </c>
    </row>
    <row r="39" spans="1:8" x14ac:dyDescent="0.25">
      <c r="A39" t="str">
        <f t="shared" si="0"/>
        <v>Usme2015</v>
      </c>
      <c r="B39">
        <v>2015</v>
      </c>
      <c r="C39" t="s">
        <v>52</v>
      </c>
      <c r="D39" t="str" cm="1">
        <f t="array" ref="D39">VLOOKUP(C39:C39,$M$1:$N$20,2,FALSE)</f>
        <v>Usme</v>
      </c>
      <c r="E39" s="2">
        <v>5.2756977512126997E-2</v>
      </c>
      <c r="F39" s="4">
        <v>3644.3923911531401</v>
      </c>
      <c r="G39" s="4">
        <v>7250675</v>
      </c>
      <c r="H39" s="2">
        <v>0.50262801617134201</v>
      </c>
    </row>
    <row r="40" spans="1:8" x14ac:dyDescent="0.25">
      <c r="A40" t="str">
        <f t="shared" si="0"/>
        <v>Antonio Nariño2016</v>
      </c>
      <c r="B40">
        <v>2016</v>
      </c>
      <c r="C40" t="s">
        <v>34</v>
      </c>
      <c r="D40" t="str" cm="1">
        <f t="array" ref="D40">VLOOKUP(C40:C40,$M$1:$N$20,2,FALSE)</f>
        <v>Antonio Nariño</v>
      </c>
      <c r="E40" s="2">
        <v>1.22885256228186E-2</v>
      </c>
      <c r="F40" s="4">
        <v>976.66571905678995</v>
      </c>
      <c r="G40" s="4">
        <v>7277543</v>
      </c>
      <c r="H40" s="2">
        <v>0.13420267239325001</v>
      </c>
    </row>
    <row r="41" spans="1:8" x14ac:dyDescent="0.25">
      <c r="A41" t="str">
        <f t="shared" si="0"/>
        <v>Barrios Unidos2016</v>
      </c>
      <c r="B41">
        <v>2016</v>
      </c>
      <c r="C41" t="s">
        <v>35</v>
      </c>
      <c r="D41" t="str" cm="1">
        <f t="array" ref="D41">VLOOKUP(C41:C41,$M$1:$N$20,2,FALSE)</f>
        <v>Barrios Unidos</v>
      </c>
      <c r="E41" s="2">
        <v>1.26580470262547E-2</v>
      </c>
      <c r="F41" s="4">
        <v>1006.03448942609</v>
      </c>
      <c r="G41" s="4">
        <v>7277543</v>
      </c>
      <c r="H41" s="2">
        <v>0.138238206139914</v>
      </c>
    </row>
    <row r="42" spans="1:8" x14ac:dyDescent="0.25">
      <c r="A42" t="str">
        <f t="shared" si="0"/>
        <v>Bosa2016</v>
      </c>
      <c r="B42">
        <v>2016</v>
      </c>
      <c r="C42" t="s">
        <v>36</v>
      </c>
      <c r="D42" t="str" cm="1">
        <f t="array" ref="D42">VLOOKUP(C42:C42,$M$1:$N$20,2,FALSE)</f>
        <v>Bosa</v>
      </c>
      <c r="E42" s="2">
        <v>9.0925183672490403E-2</v>
      </c>
      <c r="F42" s="4">
        <v>7226.5390183964801</v>
      </c>
      <c r="G42" s="4">
        <v>7277543</v>
      </c>
      <c r="H42" s="2">
        <v>0.99299159323366104</v>
      </c>
    </row>
    <row r="43" spans="1:8" x14ac:dyDescent="0.25">
      <c r="A43" t="str">
        <f t="shared" si="0"/>
        <v>La Candelaria2016</v>
      </c>
      <c r="B43">
        <v>2016</v>
      </c>
      <c r="C43" t="s">
        <v>37</v>
      </c>
      <c r="D43" t="str" cm="1">
        <f t="array" ref="D43">VLOOKUP(C43:C43,$M$1:$N$20,2,FALSE)</f>
        <v>La Candelaria</v>
      </c>
      <c r="E43" s="2">
        <v>3.5761551600176598E-3</v>
      </c>
      <c r="F43" s="4">
        <v>284.22515914616099</v>
      </c>
      <c r="G43" s="4">
        <v>7277543</v>
      </c>
      <c r="H43" s="2">
        <v>3.9055098560896402E-2</v>
      </c>
    </row>
    <row r="44" spans="1:8" x14ac:dyDescent="0.25">
      <c r="A44" t="str">
        <f t="shared" si="0"/>
        <v>Chapinero2016</v>
      </c>
      <c r="B44">
        <v>2016</v>
      </c>
      <c r="C44" t="s">
        <v>38</v>
      </c>
      <c r="D44" t="str" cm="1">
        <f t="array" ref="D44">VLOOKUP(C44:C44,$M$1:$N$20,2,FALSE)</f>
        <v>Chapinero</v>
      </c>
      <c r="E44" s="2">
        <v>1.7969647255986099E-2</v>
      </c>
      <c r="F44" s="4">
        <v>1428.1891088606501</v>
      </c>
      <c r="G44" s="4">
        <v>7277543</v>
      </c>
      <c r="H44" s="2">
        <v>0.196246055689489</v>
      </c>
    </row>
    <row r="45" spans="1:8" x14ac:dyDescent="0.25">
      <c r="A45" t="str">
        <f t="shared" si="0"/>
        <v>Ciudad Bolívar2016</v>
      </c>
      <c r="B45">
        <v>2016</v>
      </c>
      <c r="C45" t="s">
        <v>39</v>
      </c>
      <c r="D45" t="str" cm="1">
        <f t="array" ref="D45">VLOOKUP(C45:C45,$M$1:$N$20,2,FALSE)</f>
        <v>Ciudad Bolívar</v>
      </c>
      <c r="E45" s="2">
        <v>9.2577600182282505E-2</v>
      </c>
      <c r="F45" s="4">
        <v>7357.8695464234297</v>
      </c>
      <c r="G45" s="4">
        <v>7277543</v>
      </c>
      <c r="H45" s="2">
        <v>1.0110375914540699</v>
      </c>
    </row>
    <row r="46" spans="1:8" x14ac:dyDescent="0.25">
      <c r="A46" t="str">
        <f t="shared" si="0"/>
        <v>Engativá2016</v>
      </c>
      <c r="B46">
        <v>2016</v>
      </c>
      <c r="C46" t="s">
        <v>40</v>
      </c>
      <c r="D46" t="str" cm="1">
        <f t="array" ref="D46">VLOOKUP(C46:C46,$M$1:$N$20,2,FALSE)</f>
        <v>Engativá</v>
      </c>
      <c r="E46" s="2">
        <v>9.3705615277787202E-2</v>
      </c>
      <c r="F46" s="4">
        <v>7447.5217722618299</v>
      </c>
      <c r="G46" s="4">
        <v>7277543</v>
      </c>
      <c r="H46" s="2">
        <v>1.0233566153112199</v>
      </c>
    </row>
    <row r="47" spans="1:8" x14ac:dyDescent="0.25">
      <c r="A47" t="str">
        <f t="shared" si="0"/>
        <v>Fontibón2016</v>
      </c>
      <c r="B47">
        <v>2016</v>
      </c>
      <c r="C47" t="s">
        <v>41</v>
      </c>
      <c r="D47" t="str" cm="1">
        <f t="array" ref="D47">VLOOKUP(C47:C47,$M$1:$N$20,2,FALSE)</f>
        <v>Fontibón</v>
      </c>
      <c r="E47" s="2">
        <v>4.1206452691570201E-2</v>
      </c>
      <c r="F47" s="4">
        <v>3275.0006781172401</v>
      </c>
      <c r="G47" s="4">
        <v>7277543</v>
      </c>
      <c r="H47" s="2">
        <v>0.45001461044163399</v>
      </c>
    </row>
    <row r="48" spans="1:8" x14ac:dyDescent="0.25">
      <c r="A48" t="str">
        <f t="shared" si="0"/>
        <v>Kennedy2016</v>
      </c>
      <c r="B48">
        <v>2016</v>
      </c>
      <c r="C48" t="s">
        <v>42</v>
      </c>
      <c r="D48" t="str" cm="1">
        <f t="array" ref="D48">VLOOKUP(C48:C48,$M$1:$N$20,2,FALSE)</f>
        <v>Kennedy</v>
      </c>
      <c r="E48" s="2">
        <v>0.14332416022009201</v>
      </c>
      <c r="F48" s="4">
        <v>11391.097540590101</v>
      </c>
      <c r="G48" s="4">
        <v>7277543</v>
      </c>
      <c r="H48" s="2">
        <v>1.5652394689512701</v>
      </c>
    </row>
    <row r="49" spans="1:8" x14ac:dyDescent="0.25">
      <c r="A49" t="str">
        <f t="shared" si="0"/>
        <v>Los Mártires2016</v>
      </c>
      <c r="B49">
        <v>2016</v>
      </c>
      <c r="C49" t="s">
        <v>43</v>
      </c>
      <c r="D49" t="str" cm="1">
        <f t="array" ref="D49">VLOOKUP(C49:C49,$M$1:$N$20,2,FALSE)</f>
        <v>Los Mártires</v>
      </c>
      <c r="E49" s="2">
        <v>3.6073502938253003E-2</v>
      </c>
      <c r="F49" s="4">
        <v>2867.0448162360599</v>
      </c>
      <c r="G49" s="4">
        <v>7277543</v>
      </c>
      <c r="H49" s="2">
        <v>0.39395779815193999</v>
      </c>
    </row>
    <row r="50" spans="1:8" x14ac:dyDescent="0.25">
      <c r="A50" t="str">
        <f t="shared" si="0"/>
        <v>Puente Aranda2016</v>
      </c>
      <c r="B50">
        <v>2016</v>
      </c>
      <c r="C50" t="s">
        <v>44</v>
      </c>
      <c r="D50" t="str" cm="1">
        <f t="array" ref="D50">VLOOKUP(C50:C50,$M$1:$N$20,2,FALSE)</f>
        <v>Puente Aranda</v>
      </c>
      <c r="E50" s="2">
        <v>1.44619624714911E-2</v>
      </c>
      <c r="F50" s="4">
        <v>1149.40582863443</v>
      </c>
      <c r="G50" s="4">
        <v>7277543</v>
      </c>
      <c r="H50" s="2">
        <v>0.15793872033932699</v>
      </c>
    </row>
    <row r="51" spans="1:8" x14ac:dyDescent="0.25">
      <c r="A51" t="str">
        <f t="shared" si="0"/>
        <v>Rafael Uribe2016</v>
      </c>
      <c r="B51">
        <v>2016</v>
      </c>
      <c r="C51" t="s">
        <v>45</v>
      </c>
      <c r="D51" t="str" cm="1">
        <f t="array" ref="D51">VLOOKUP(C51:C51,$M$1:$N$20,2,FALSE)</f>
        <v>Rafael Uribe</v>
      </c>
      <c r="E51" s="2">
        <v>5.5886035667316897E-2</v>
      </c>
      <c r="F51" s="4">
        <v>4441.7025187220197</v>
      </c>
      <c r="G51" s="4">
        <v>7277543</v>
      </c>
      <c r="H51" s="2">
        <v>0.610329958712992</v>
      </c>
    </row>
    <row r="52" spans="1:8" x14ac:dyDescent="0.25">
      <c r="A52" t="str">
        <f t="shared" si="0"/>
        <v>San Cristóbal2016</v>
      </c>
      <c r="B52">
        <v>2016</v>
      </c>
      <c r="C52" t="s">
        <v>46</v>
      </c>
      <c r="D52" t="str" cm="1">
        <f t="array" ref="D52">VLOOKUP(C52:C52,$M$1:$N$20,2,FALSE)</f>
        <v>San Cristóbal</v>
      </c>
      <c r="E52" s="2">
        <v>2.4911066458412099E-2</v>
      </c>
      <c r="F52" s="4">
        <v>1979.8782524323699</v>
      </c>
      <c r="G52" s="4">
        <v>7277543</v>
      </c>
      <c r="H52" s="2">
        <v>0.27205311633780399</v>
      </c>
    </row>
    <row r="53" spans="1:8" x14ac:dyDescent="0.25">
      <c r="A53" t="str">
        <f t="shared" si="0"/>
        <v>Santa Fe2016</v>
      </c>
      <c r="B53">
        <v>2016</v>
      </c>
      <c r="C53" t="s">
        <v>47</v>
      </c>
      <c r="D53" t="str" cm="1">
        <f t="array" ref="D53">VLOOKUP(C53:C53,$M$1:$N$20,2,FALSE)</f>
        <v>Santa Fe</v>
      </c>
      <c r="E53" s="2">
        <v>1.8462958503703698E-2</v>
      </c>
      <c r="F53" s="4">
        <v>1467.39643114317</v>
      </c>
      <c r="G53" s="4">
        <v>7277543</v>
      </c>
      <c r="H53" s="2">
        <v>0.201633495142959</v>
      </c>
    </row>
    <row r="54" spans="1:8" x14ac:dyDescent="0.25">
      <c r="A54" t="str">
        <f t="shared" si="0"/>
        <v>Suba2016</v>
      </c>
      <c r="B54">
        <v>2016</v>
      </c>
      <c r="C54" t="s">
        <v>48</v>
      </c>
      <c r="D54" t="str" cm="1">
        <f t="array" ref="D54">VLOOKUP(C54:C54,$M$1:$N$20,2,FALSE)</f>
        <v>Suba</v>
      </c>
      <c r="E54" s="2">
        <v>0.16623126420791901</v>
      </c>
      <c r="F54" s="4">
        <v>13211.70514434</v>
      </c>
      <c r="G54" s="4">
        <v>7277543</v>
      </c>
      <c r="H54" s="2">
        <v>1.81540736266896</v>
      </c>
    </row>
    <row r="55" spans="1:8" x14ac:dyDescent="0.25">
      <c r="A55" t="str">
        <f t="shared" si="0"/>
        <v>Teusaquillo2016</v>
      </c>
      <c r="B55">
        <v>2016</v>
      </c>
      <c r="C55" t="s">
        <v>49</v>
      </c>
      <c r="D55" t="str" cm="1">
        <f t="array" ref="D55">VLOOKUP(C55:C55,$M$1:$N$20,2,FALSE)</f>
        <v>Teusaquillo</v>
      </c>
      <c r="E55" s="2">
        <v>9.8167859237632705E-3</v>
      </c>
      <c r="F55" s="4">
        <v>780.21713729882799</v>
      </c>
      <c r="G55" s="4">
        <v>7277543</v>
      </c>
      <c r="H55" s="2">
        <v>0.107208866687401</v>
      </c>
    </row>
    <row r="56" spans="1:8" x14ac:dyDescent="0.25">
      <c r="A56" t="str">
        <f t="shared" si="0"/>
        <v>Tunjuelito2016</v>
      </c>
      <c r="B56">
        <v>2016</v>
      </c>
      <c r="C56" t="s">
        <v>50</v>
      </c>
      <c r="D56" t="str" cm="1">
        <f t="array" ref="D56">VLOOKUP(C56:C56,$M$1:$N$20,2,FALSE)</f>
        <v>Tunjuelito</v>
      </c>
      <c r="E56" s="2">
        <v>2.6661532008366299E-2</v>
      </c>
      <c r="F56" s="4">
        <v>2119.00150834645</v>
      </c>
      <c r="G56" s="4">
        <v>7277543</v>
      </c>
      <c r="H56" s="2">
        <v>0.29116990560501699</v>
      </c>
    </row>
    <row r="57" spans="1:8" x14ac:dyDescent="0.25">
      <c r="A57" t="str">
        <f t="shared" si="0"/>
        <v>Usaquén2016</v>
      </c>
      <c r="B57">
        <v>2016</v>
      </c>
      <c r="C57" t="s">
        <v>51</v>
      </c>
      <c r="D57" t="str" cm="1">
        <f t="array" ref="D57">VLOOKUP(C57:C57,$M$1:$N$20,2,FALSE)</f>
        <v>Usaquén</v>
      </c>
      <c r="E57" s="2">
        <v>8.6347049543513105E-2</v>
      </c>
      <c r="F57" s="4">
        <v>6862.6787150323999</v>
      </c>
      <c r="G57" s="4">
        <v>7277543</v>
      </c>
      <c r="H57" s="2">
        <v>0.94299390811327399</v>
      </c>
    </row>
    <row r="58" spans="1:8" x14ac:dyDescent="0.25">
      <c r="A58" t="str">
        <f t="shared" si="0"/>
        <v>Usme2016</v>
      </c>
      <c r="B58">
        <v>2016</v>
      </c>
      <c r="C58" t="s">
        <v>52</v>
      </c>
      <c r="D58" t="str" cm="1">
        <f t="array" ref="D58">VLOOKUP(C58:C58,$M$1:$N$20,2,FALSE)</f>
        <v>Usme</v>
      </c>
      <c r="E58" s="2">
        <v>5.2756977512126997E-2</v>
      </c>
      <c r="F58" s="4">
        <v>4193.0116727319801</v>
      </c>
      <c r="G58" s="4">
        <v>7277543</v>
      </c>
      <c r="H58" s="2">
        <v>0.57615759504711594</v>
      </c>
    </row>
    <row r="59" spans="1:8" x14ac:dyDescent="0.25">
      <c r="A59" t="str">
        <f t="shared" si="0"/>
        <v>Antonio Nariño2017</v>
      </c>
      <c r="B59">
        <v>2017</v>
      </c>
      <c r="C59" t="s">
        <v>34</v>
      </c>
      <c r="D59" t="str" cm="1">
        <f t="array" ref="D59">VLOOKUP(C59:C59,$M$1:$N$20,2,FALSE)</f>
        <v>Antonio Nariño</v>
      </c>
      <c r="E59" s="2">
        <v>1.22885256228186E-2</v>
      </c>
      <c r="F59" s="4">
        <v>2052.3951416514201</v>
      </c>
      <c r="G59" s="4">
        <v>7313244</v>
      </c>
      <c r="H59" s="2">
        <v>0.28064086767122998</v>
      </c>
    </row>
    <row r="60" spans="1:8" x14ac:dyDescent="0.25">
      <c r="A60" t="str">
        <f t="shared" si="0"/>
        <v>Barrios Unidos2017</v>
      </c>
      <c r="B60">
        <v>2017</v>
      </c>
      <c r="C60" t="s">
        <v>35</v>
      </c>
      <c r="D60" t="str" cm="1">
        <f t="array" ref="D60">VLOOKUP(C60:C60,$M$1:$N$20,2,FALSE)</f>
        <v>Barrios Unidos</v>
      </c>
      <c r="E60" s="2">
        <v>1.26580470262547E-2</v>
      </c>
      <c r="F60" s="4">
        <v>2114.1115717933899</v>
      </c>
      <c r="G60" s="4">
        <v>7313244</v>
      </c>
      <c r="H60" s="2">
        <v>0.28907986275220499</v>
      </c>
    </row>
    <row r="61" spans="1:8" x14ac:dyDescent="0.25">
      <c r="A61" t="str">
        <f t="shared" si="0"/>
        <v>Bosa2017</v>
      </c>
      <c r="B61">
        <v>2017</v>
      </c>
      <c r="C61" t="s">
        <v>36</v>
      </c>
      <c r="D61" t="str" cm="1">
        <f t="array" ref="D61">VLOOKUP(C61:C61,$M$1:$N$20,2,FALSE)</f>
        <v>Bosa</v>
      </c>
      <c r="E61" s="2">
        <v>9.0925183672490403E-2</v>
      </c>
      <c r="F61" s="4">
        <v>15186.069586465101</v>
      </c>
      <c r="G61" s="4">
        <v>7313244</v>
      </c>
      <c r="H61" s="2">
        <v>2.07651619260414</v>
      </c>
    </row>
    <row r="62" spans="1:8" x14ac:dyDescent="0.25">
      <c r="A62" t="str">
        <f t="shared" si="0"/>
        <v>La Candelaria2017</v>
      </c>
      <c r="B62">
        <v>2017</v>
      </c>
      <c r="C62" t="s">
        <v>37</v>
      </c>
      <c r="D62" t="str" cm="1">
        <f t="array" ref="D62">VLOOKUP(C62:C62,$M$1:$N$20,2,FALSE)</f>
        <v>La Candelaria</v>
      </c>
      <c r="E62" s="2">
        <v>3.5761551600176598E-3</v>
      </c>
      <c r="F62" s="4">
        <v>597.27942159170198</v>
      </c>
      <c r="G62" s="4">
        <v>7313244</v>
      </c>
      <c r="H62" s="2">
        <v>8.1670927647388994E-2</v>
      </c>
    </row>
    <row r="63" spans="1:8" x14ac:dyDescent="0.25">
      <c r="A63" t="str">
        <f t="shared" si="0"/>
        <v>Chapinero2017</v>
      </c>
      <c r="B63">
        <v>2017</v>
      </c>
      <c r="C63" t="s">
        <v>38</v>
      </c>
      <c r="D63" t="str" cm="1">
        <f t="array" ref="D63">VLOOKUP(C63:C63,$M$1:$N$20,2,FALSE)</f>
        <v>Chapinero</v>
      </c>
      <c r="E63" s="2">
        <v>1.7969647255986099E-2</v>
      </c>
      <c r="F63" s="4">
        <v>3001.24016968249</v>
      </c>
      <c r="G63" s="4">
        <v>7313244</v>
      </c>
      <c r="H63" s="2">
        <v>0.41038425214343799</v>
      </c>
    </row>
    <row r="64" spans="1:8" x14ac:dyDescent="0.25">
      <c r="A64" t="str">
        <f t="shared" si="0"/>
        <v>Ciudad Bolívar2017</v>
      </c>
      <c r="B64">
        <v>2017</v>
      </c>
      <c r="C64" t="s">
        <v>39</v>
      </c>
      <c r="D64" t="str" cm="1">
        <f t="array" ref="D64">VLOOKUP(C64:C64,$M$1:$N$20,2,FALSE)</f>
        <v>Ciudad Bolívar</v>
      </c>
      <c r="E64" s="2">
        <v>9.2577600182282505E-2</v>
      </c>
      <c r="F64" s="4">
        <v>15462.0515651643</v>
      </c>
      <c r="G64" s="4">
        <v>7313244</v>
      </c>
      <c r="H64" s="2">
        <v>2.1142534783694198</v>
      </c>
    </row>
    <row r="65" spans="1:8" x14ac:dyDescent="0.25">
      <c r="A65" t="str">
        <f t="shared" si="0"/>
        <v>Engativá2017</v>
      </c>
      <c r="B65">
        <v>2017</v>
      </c>
      <c r="C65" t="s">
        <v>40</v>
      </c>
      <c r="D65" t="str" cm="1">
        <f t="array" ref="D65">VLOOKUP(C65:C65,$M$1:$N$20,2,FALSE)</f>
        <v>Engativá</v>
      </c>
      <c r="E65" s="2">
        <v>9.3705615277787202E-2</v>
      </c>
      <c r="F65" s="4">
        <v>15650.449487973199</v>
      </c>
      <c r="G65" s="4">
        <v>7313244</v>
      </c>
      <c r="H65" s="2">
        <v>2.1400146758365</v>
      </c>
    </row>
    <row r="66" spans="1:8" x14ac:dyDescent="0.25">
      <c r="A66" t="str">
        <f t="shared" si="0"/>
        <v>Fontibón2017</v>
      </c>
      <c r="B66">
        <v>2017</v>
      </c>
      <c r="C66" t="s">
        <v>41</v>
      </c>
      <c r="D66" t="str" cm="1">
        <f t="array" ref="D66">VLOOKUP(C66:C66,$M$1:$N$20,2,FALSE)</f>
        <v>Fontibón</v>
      </c>
      <c r="E66" s="2">
        <v>4.1206452691570201E-2</v>
      </c>
      <c r="F66" s="4">
        <v>6882.1863504785197</v>
      </c>
      <c r="G66" s="4">
        <v>7313244</v>
      </c>
      <c r="H66" s="2">
        <v>0.94105794234111795</v>
      </c>
    </row>
    <row r="67" spans="1:8" x14ac:dyDescent="0.25">
      <c r="A67" t="str">
        <f t="shared" ref="A67:A130" si="1">D67&amp;B67</f>
        <v>Kennedy2017</v>
      </c>
      <c r="B67">
        <v>2017</v>
      </c>
      <c r="C67" t="s">
        <v>42</v>
      </c>
      <c r="D67" t="str" cm="1">
        <f t="array" ref="D67">VLOOKUP(C67:C67,$M$1:$N$20,2,FALSE)</f>
        <v>Kennedy</v>
      </c>
      <c r="E67" s="2">
        <v>0.14332416022009201</v>
      </c>
      <c r="F67" s="4">
        <v>23937.599932311201</v>
      </c>
      <c r="G67" s="4">
        <v>7313244</v>
      </c>
      <c r="H67" s="2">
        <v>3.2731849138783198</v>
      </c>
    </row>
    <row r="68" spans="1:8" x14ac:dyDescent="0.25">
      <c r="A68" t="str">
        <f t="shared" si="1"/>
        <v>Los Mártires2017</v>
      </c>
      <c r="B68">
        <v>2017</v>
      </c>
      <c r="C68" t="s">
        <v>43</v>
      </c>
      <c r="D68" t="str" cm="1">
        <f t="array" ref="D68">VLOOKUP(C68:C68,$M$1:$N$20,2,FALSE)</f>
        <v>Los Mártires</v>
      </c>
      <c r="E68" s="2">
        <v>3.6073502938253003E-2</v>
      </c>
      <c r="F68" s="4">
        <v>6024.89545493879</v>
      </c>
      <c r="G68" s="4">
        <v>7313244</v>
      </c>
      <c r="H68" s="2">
        <v>0.82383350739272398</v>
      </c>
    </row>
    <row r="69" spans="1:8" x14ac:dyDescent="0.25">
      <c r="A69" t="str">
        <f t="shared" si="1"/>
        <v>Puente Aranda2017</v>
      </c>
      <c r="B69">
        <v>2017</v>
      </c>
      <c r="C69" t="s">
        <v>44</v>
      </c>
      <c r="D69" t="str" cm="1">
        <f t="array" ref="D69">VLOOKUP(C69:C69,$M$1:$N$20,2,FALSE)</f>
        <v>Puente Aranda</v>
      </c>
      <c r="E69" s="2">
        <v>1.44619624714911E-2</v>
      </c>
      <c r="F69" s="4">
        <v>2415.3964784935301</v>
      </c>
      <c r="G69" s="4">
        <v>7313244</v>
      </c>
      <c r="H69" s="2">
        <v>0.33027702596734498</v>
      </c>
    </row>
    <row r="70" spans="1:8" x14ac:dyDescent="0.25">
      <c r="A70" t="str">
        <f t="shared" si="1"/>
        <v>Rafael Uribe2017</v>
      </c>
      <c r="B70">
        <v>2017</v>
      </c>
      <c r="C70" t="s">
        <v>45</v>
      </c>
      <c r="D70" t="str" cm="1">
        <f t="array" ref="D70">VLOOKUP(C70:C70,$M$1:$N$20,2,FALSE)</f>
        <v>Rafael Uribe</v>
      </c>
      <c r="E70" s="2">
        <v>5.5886035667316897E-2</v>
      </c>
      <c r="F70" s="4">
        <v>9333.9291962554107</v>
      </c>
      <c r="G70" s="4">
        <v>7313244</v>
      </c>
      <c r="H70" s="2">
        <v>1.27630490603833</v>
      </c>
    </row>
    <row r="71" spans="1:8" x14ac:dyDescent="0.25">
      <c r="A71" t="str">
        <f t="shared" si="1"/>
        <v>San Cristóbal2017</v>
      </c>
      <c r="B71">
        <v>2017</v>
      </c>
      <c r="C71" t="s">
        <v>46</v>
      </c>
      <c r="D71" t="str" cm="1">
        <f t="array" ref="D71">VLOOKUP(C71:C71,$M$1:$N$20,2,FALSE)</f>
        <v>San Cristóbal</v>
      </c>
      <c r="E71" s="2">
        <v>2.4911066458412099E-2</v>
      </c>
      <c r="F71" s="4">
        <v>4160.5765688979</v>
      </c>
      <c r="G71" s="4">
        <v>7313244</v>
      </c>
      <c r="H71" s="2">
        <v>0.56890985298697805</v>
      </c>
    </row>
    <row r="72" spans="1:8" x14ac:dyDescent="0.25">
      <c r="A72" t="str">
        <f t="shared" si="1"/>
        <v>Santa Fe2017</v>
      </c>
      <c r="B72">
        <v>2017</v>
      </c>
      <c r="C72" t="s">
        <v>47</v>
      </c>
      <c r="D72" t="str" cm="1">
        <f t="array" ref="D72">VLOOKUP(C72:C72,$M$1:$N$20,2,FALSE)</f>
        <v>Santa Fe</v>
      </c>
      <c r="E72" s="2">
        <v>1.8462958503703698E-2</v>
      </c>
      <c r="F72" s="4">
        <v>3083.6316330047798</v>
      </c>
      <c r="G72" s="4">
        <v>7313244</v>
      </c>
      <c r="H72" s="2">
        <v>0.42165031455326601</v>
      </c>
    </row>
    <row r="73" spans="1:8" x14ac:dyDescent="0.25">
      <c r="A73" t="str">
        <f t="shared" si="1"/>
        <v>Suba2017</v>
      </c>
      <c r="B73">
        <v>2017</v>
      </c>
      <c r="C73" t="s">
        <v>48</v>
      </c>
      <c r="D73" t="str" cm="1">
        <f t="array" ref="D73">VLOOKUP(C73:C73,$M$1:$N$20,2,FALSE)</f>
        <v>Suba</v>
      </c>
      <c r="E73" s="2">
        <v>0.16623126420791901</v>
      </c>
      <c r="F73" s="4">
        <v>27763.480300466799</v>
      </c>
      <c r="G73" s="4">
        <v>7313244</v>
      </c>
      <c r="H73" s="2">
        <v>3.7963290026241099</v>
      </c>
    </row>
    <row r="74" spans="1:8" x14ac:dyDescent="0.25">
      <c r="A74" t="str">
        <f t="shared" si="1"/>
        <v>Teusaquillo2017</v>
      </c>
      <c r="B74">
        <v>2017</v>
      </c>
      <c r="C74" t="s">
        <v>49</v>
      </c>
      <c r="D74" t="str" cm="1">
        <f t="array" ref="D74">VLOOKUP(C74:C74,$M$1:$N$20,2,FALSE)</f>
        <v>Teusaquillo</v>
      </c>
      <c r="E74" s="2">
        <v>9.8167859237632705E-3</v>
      </c>
      <c r="F74" s="4">
        <v>1639.5720979863499</v>
      </c>
      <c r="G74" s="4">
        <v>7313244</v>
      </c>
      <c r="H74" s="2">
        <v>0.22419217764187199</v>
      </c>
    </row>
    <row r="75" spans="1:8" x14ac:dyDescent="0.25">
      <c r="A75" t="str">
        <f t="shared" si="1"/>
        <v>Tunjuelito2017</v>
      </c>
      <c r="B75">
        <v>2017</v>
      </c>
      <c r="C75" t="s">
        <v>50</v>
      </c>
      <c r="D75" t="str" cm="1">
        <f t="array" ref="D75">VLOOKUP(C75:C75,$M$1:$N$20,2,FALSE)</f>
        <v>Tunjuelito</v>
      </c>
      <c r="E75" s="2">
        <v>2.6661532008366299E-2</v>
      </c>
      <c r="F75" s="4">
        <v>4452.9344237477098</v>
      </c>
      <c r="G75" s="4">
        <v>7313244</v>
      </c>
      <c r="H75" s="2">
        <v>0.60888634698195698</v>
      </c>
    </row>
    <row r="76" spans="1:8" x14ac:dyDescent="0.25">
      <c r="A76" t="str">
        <f t="shared" si="1"/>
        <v>Usaquén2017</v>
      </c>
      <c r="B76">
        <v>2017</v>
      </c>
      <c r="C76" t="s">
        <v>51</v>
      </c>
      <c r="D76" t="str" cm="1">
        <f t="array" ref="D76">VLOOKUP(C76:C76,$M$1:$N$20,2,FALSE)</f>
        <v>Usaquén</v>
      </c>
      <c r="E76" s="2">
        <v>8.6347049543513105E-2</v>
      </c>
      <c r="F76" s="4">
        <v>14421.442443018799</v>
      </c>
      <c r="G76" s="4">
        <v>7313244</v>
      </c>
      <c r="H76" s="2">
        <v>1.97196243459385</v>
      </c>
    </row>
    <row r="77" spans="1:8" x14ac:dyDescent="0.25">
      <c r="A77" t="str">
        <f t="shared" si="1"/>
        <v>Usme2017</v>
      </c>
      <c r="B77">
        <v>2017</v>
      </c>
      <c r="C77" t="s">
        <v>52</v>
      </c>
      <c r="D77" t="str" cm="1">
        <f t="array" ref="D77">VLOOKUP(C77:C77,$M$1:$N$20,2,FALSE)</f>
        <v>Usme</v>
      </c>
      <c r="E77" s="2">
        <v>5.2756977512126997E-2</v>
      </c>
      <c r="F77" s="4">
        <v>8811.3226645384093</v>
      </c>
      <c r="G77" s="4">
        <v>7313244</v>
      </c>
      <c r="H77" s="2">
        <v>1.2048446167717699</v>
      </c>
    </row>
    <row r="78" spans="1:8" x14ac:dyDescent="0.25">
      <c r="A78" t="str">
        <f t="shared" si="1"/>
        <v>Antonio Nariño2018</v>
      </c>
      <c r="B78">
        <v>2018</v>
      </c>
      <c r="C78" t="s">
        <v>34</v>
      </c>
      <c r="D78" t="str" cm="1">
        <f t="array" ref="D78">VLOOKUP(C78:C78,$M$1:$N$20,2,FALSE)</f>
        <v>Antonio Nariño</v>
      </c>
      <c r="E78" s="2">
        <v>1.22885256228186E-2</v>
      </c>
      <c r="F78" s="4">
        <v>3504.16561394466</v>
      </c>
      <c r="G78" s="4">
        <v>7366187</v>
      </c>
      <c r="H78" s="2">
        <v>0.47570956506326301</v>
      </c>
    </row>
    <row r="79" spans="1:8" x14ac:dyDescent="0.25">
      <c r="A79" t="str">
        <f t="shared" si="1"/>
        <v>Barrios Unidos2018</v>
      </c>
      <c r="B79">
        <v>2018</v>
      </c>
      <c r="C79" t="s">
        <v>35</v>
      </c>
      <c r="D79" t="str" cm="1">
        <f t="array" ref="D79">VLOOKUP(C79:C79,$M$1:$N$20,2,FALSE)</f>
        <v>Barrios Unidos</v>
      </c>
      <c r="E79" s="2">
        <v>1.26580470262547E-2</v>
      </c>
      <c r="F79" s="4">
        <v>3609.5374246306301</v>
      </c>
      <c r="G79" s="4">
        <v>7366187</v>
      </c>
      <c r="H79" s="2">
        <v>0.49001436219724498</v>
      </c>
    </row>
    <row r="80" spans="1:8" x14ac:dyDescent="0.25">
      <c r="A80" t="str">
        <f t="shared" si="1"/>
        <v>Bosa2018</v>
      </c>
      <c r="B80">
        <v>2018</v>
      </c>
      <c r="C80" t="s">
        <v>36</v>
      </c>
      <c r="D80" t="str" cm="1">
        <f t="array" ref="D80">VLOOKUP(C80:C80,$M$1:$N$20,2,FALSE)</f>
        <v>Bosa</v>
      </c>
      <c r="E80" s="2">
        <v>9.0925183672490403E-2</v>
      </c>
      <c r="F80" s="4">
        <v>25928.0007908437</v>
      </c>
      <c r="G80" s="4">
        <v>7366187</v>
      </c>
      <c r="H80" s="2">
        <v>3.51986730595404</v>
      </c>
    </row>
    <row r="81" spans="1:8" x14ac:dyDescent="0.25">
      <c r="A81" t="str">
        <f t="shared" si="1"/>
        <v>La Candelaria2018</v>
      </c>
      <c r="B81">
        <v>2018</v>
      </c>
      <c r="C81" t="s">
        <v>37</v>
      </c>
      <c r="D81" t="str" cm="1">
        <f t="array" ref="D81">VLOOKUP(C81:C81,$M$1:$N$20,2,FALSE)</f>
        <v>La Candelaria</v>
      </c>
      <c r="E81" s="2">
        <v>3.5761551600176598E-3</v>
      </c>
      <c r="F81" s="4">
        <v>1019.76757232739</v>
      </c>
      <c r="G81" s="4">
        <v>7366187</v>
      </c>
      <c r="H81" s="2">
        <v>0.13843900138937401</v>
      </c>
    </row>
    <row r="82" spans="1:8" x14ac:dyDescent="0.25">
      <c r="A82" t="str">
        <f t="shared" si="1"/>
        <v>Chapinero2018</v>
      </c>
      <c r="B82">
        <v>2018</v>
      </c>
      <c r="C82" t="s">
        <v>38</v>
      </c>
      <c r="D82" t="str" cm="1">
        <f t="array" ref="D82">VLOOKUP(C82:C82,$M$1:$N$20,2,FALSE)</f>
        <v>Chapinero</v>
      </c>
      <c r="E82" s="2">
        <v>1.7969647255986099E-2</v>
      </c>
      <c r="F82" s="4">
        <v>5124.1802264882899</v>
      </c>
      <c r="G82" s="4">
        <v>7366187</v>
      </c>
      <c r="H82" s="2">
        <v>0.69563537098478301</v>
      </c>
    </row>
    <row r="83" spans="1:8" x14ac:dyDescent="0.25">
      <c r="A83" t="str">
        <f t="shared" si="1"/>
        <v>Ciudad Bolívar2018</v>
      </c>
      <c r="B83">
        <v>2018</v>
      </c>
      <c r="C83" t="s">
        <v>39</v>
      </c>
      <c r="D83" t="str" cm="1">
        <f t="array" ref="D83">VLOOKUP(C83:C83,$M$1:$N$20,2,FALSE)</f>
        <v>Ciudad Bolívar</v>
      </c>
      <c r="E83" s="2">
        <v>9.2577600182282505E-2</v>
      </c>
      <c r="F83" s="4">
        <v>26399.199801307201</v>
      </c>
      <c r="G83" s="4">
        <v>7366187</v>
      </c>
      <c r="H83" s="2">
        <v>3.58383513767805</v>
      </c>
    </row>
    <row r="84" spans="1:8" x14ac:dyDescent="0.25">
      <c r="A84" t="str">
        <f t="shared" si="1"/>
        <v>Engativá2018</v>
      </c>
      <c r="B84">
        <v>2018</v>
      </c>
      <c r="C84" t="s">
        <v>40</v>
      </c>
      <c r="D84" t="str" cm="1">
        <f t="array" ref="D84">VLOOKUP(C84:C84,$M$1:$N$20,2,FALSE)</f>
        <v>Engativá</v>
      </c>
      <c r="E84" s="2">
        <v>9.3705615277787202E-2</v>
      </c>
      <c r="F84" s="4">
        <v>26720.8617997441</v>
      </c>
      <c r="G84" s="4">
        <v>7366187</v>
      </c>
      <c r="H84" s="2">
        <v>3.6275025056713899</v>
      </c>
    </row>
    <row r="85" spans="1:8" x14ac:dyDescent="0.25">
      <c r="A85" t="str">
        <f t="shared" si="1"/>
        <v>Fontibón2018</v>
      </c>
      <c r="B85">
        <v>2018</v>
      </c>
      <c r="C85" t="s">
        <v>41</v>
      </c>
      <c r="D85" t="str" cm="1">
        <f t="array" ref="D85">VLOOKUP(C85:C85,$M$1:$N$20,2,FALSE)</f>
        <v>Fontibón</v>
      </c>
      <c r="E85" s="2">
        <v>4.1206452691570201E-2</v>
      </c>
      <c r="F85" s="4">
        <v>11750.33026959</v>
      </c>
      <c r="G85" s="4">
        <v>7366187</v>
      </c>
      <c r="H85" s="2">
        <v>1.5951713239957099</v>
      </c>
    </row>
    <row r="86" spans="1:8" x14ac:dyDescent="0.25">
      <c r="A86" t="str">
        <f t="shared" si="1"/>
        <v>Kennedy2018</v>
      </c>
      <c r="B86">
        <v>2018</v>
      </c>
      <c r="C86" t="s">
        <v>42</v>
      </c>
      <c r="D86" t="str" cm="1">
        <f t="array" ref="D86">VLOOKUP(C86:C86,$M$1:$N$20,2,FALSE)</f>
        <v>Kennedy</v>
      </c>
      <c r="E86" s="2">
        <v>0.14332416022009201</v>
      </c>
      <c r="F86" s="4">
        <v>40869.963517685697</v>
      </c>
      <c r="G86" s="4">
        <v>7366187</v>
      </c>
      <c r="H86" s="2">
        <v>5.5483201170002499</v>
      </c>
    </row>
    <row r="87" spans="1:8" x14ac:dyDescent="0.25">
      <c r="A87" t="str">
        <f t="shared" si="1"/>
        <v>Los Mártires2018</v>
      </c>
      <c r="B87">
        <v>2018</v>
      </c>
      <c r="C87" t="s">
        <v>43</v>
      </c>
      <c r="D87" t="str" cm="1">
        <f t="array" ref="D87">VLOOKUP(C87:C87,$M$1:$N$20,2,FALSE)</f>
        <v>Los Mártires</v>
      </c>
      <c r="E87" s="2">
        <v>3.6073502938253003E-2</v>
      </c>
      <c r="F87" s="4">
        <v>10286.63099632</v>
      </c>
      <c r="G87" s="4">
        <v>7366187</v>
      </c>
      <c r="H87" s="2">
        <v>1.3964661766419999</v>
      </c>
    </row>
    <row r="88" spans="1:8" x14ac:dyDescent="0.25">
      <c r="A88" t="str">
        <f t="shared" si="1"/>
        <v>Puente Aranda2018</v>
      </c>
      <c r="B88">
        <v>2018</v>
      </c>
      <c r="C88" t="s">
        <v>44</v>
      </c>
      <c r="D88" t="str" cm="1">
        <f t="array" ref="D88">VLOOKUP(C88:C88,$M$1:$N$20,2,FALSE)</f>
        <v>Puente Aranda</v>
      </c>
      <c r="E88" s="2">
        <v>1.44619624714911E-2</v>
      </c>
      <c r="F88" s="4">
        <v>4123.9374973231097</v>
      </c>
      <c r="G88" s="4">
        <v>7366187</v>
      </c>
      <c r="H88" s="2">
        <v>0.55984697338298794</v>
      </c>
    </row>
    <row r="89" spans="1:8" x14ac:dyDescent="0.25">
      <c r="A89" t="str">
        <f t="shared" si="1"/>
        <v>Rafael Uribe2018</v>
      </c>
      <c r="B89">
        <v>2018</v>
      </c>
      <c r="C89" t="s">
        <v>45</v>
      </c>
      <c r="D89" t="str" cm="1">
        <f t="array" ref="D89">VLOOKUP(C89:C89,$M$1:$N$20,2,FALSE)</f>
        <v>Rafael Uribe</v>
      </c>
      <c r="E89" s="2">
        <v>5.5886035667316897E-2</v>
      </c>
      <c r="F89" s="4">
        <v>15936.323892384</v>
      </c>
      <c r="G89" s="4">
        <v>7366187</v>
      </c>
      <c r="H89" s="2">
        <v>2.1634427543563599</v>
      </c>
    </row>
    <row r="90" spans="1:8" x14ac:dyDescent="0.25">
      <c r="A90" t="str">
        <f t="shared" si="1"/>
        <v>San Cristóbal2018</v>
      </c>
      <c r="B90">
        <v>2018</v>
      </c>
      <c r="C90" t="s">
        <v>46</v>
      </c>
      <c r="D90" t="str" cm="1">
        <f t="array" ref="D90">VLOOKUP(C90:C90,$M$1:$N$20,2,FALSE)</f>
        <v>San Cristóbal</v>
      </c>
      <c r="E90" s="2">
        <v>2.4911066458412099E-2</v>
      </c>
      <c r="F90" s="4">
        <v>7103.5781809466298</v>
      </c>
      <c r="G90" s="4">
        <v>7366187</v>
      </c>
      <c r="H90" s="2">
        <v>0.96434942269950896</v>
      </c>
    </row>
    <row r="91" spans="1:8" x14ac:dyDescent="0.25">
      <c r="A91" t="str">
        <f t="shared" si="1"/>
        <v>Santa Fe2018</v>
      </c>
      <c r="B91">
        <v>2018</v>
      </c>
      <c r="C91" t="s">
        <v>47</v>
      </c>
      <c r="D91" t="str" cm="1">
        <f t="array" ref="D91">VLOOKUP(C91:C91,$M$1:$N$20,2,FALSE)</f>
        <v>Santa Fe</v>
      </c>
      <c r="E91" s="2">
        <v>1.8462958503703698E-2</v>
      </c>
      <c r="F91" s="4">
        <v>5264.8516434086496</v>
      </c>
      <c r="G91" s="4">
        <v>7366187</v>
      </c>
      <c r="H91" s="2">
        <v>0.71473228189952898</v>
      </c>
    </row>
    <row r="92" spans="1:8" x14ac:dyDescent="0.25">
      <c r="A92" t="str">
        <f t="shared" si="1"/>
        <v>Suba2018</v>
      </c>
      <c r="B92">
        <v>2018</v>
      </c>
      <c r="C92" t="s">
        <v>48</v>
      </c>
      <c r="D92" t="str" cm="1">
        <f t="array" ref="D92">VLOOKUP(C92:C92,$M$1:$N$20,2,FALSE)</f>
        <v>Suba</v>
      </c>
      <c r="E92" s="2">
        <v>0.16623126420791901</v>
      </c>
      <c r="F92" s="4">
        <v>47402.096710307502</v>
      </c>
      <c r="G92" s="4">
        <v>7366187</v>
      </c>
      <c r="H92" s="2">
        <v>6.4350927705619503</v>
      </c>
    </row>
    <row r="93" spans="1:8" x14ac:dyDescent="0.25">
      <c r="A93" t="str">
        <f t="shared" si="1"/>
        <v>Teusaquillo2018</v>
      </c>
      <c r="B93">
        <v>2018</v>
      </c>
      <c r="C93" t="s">
        <v>49</v>
      </c>
      <c r="D93" t="str" cm="1">
        <f t="array" ref="D93">VLOOKUP(C93:C93,$M$1:$N$20,2,FALSE)</f>
        <v>Teusaquillo</v>
      </c>
      <c r="E93" s="2">
        <v>9.8167859237632705E-3</v>
      </c>
      <c r="F93" s="4">
        <v>2799.3304265591</v>
      </c>
      <c r="G93" s="4">
        <v>7366187</v>
      </c>
      <c r="H93" s="2">
        <v>0.38002434998719198</v>
      </c>
    </row>
    <row r="94" spans="1:8" x14ac:dyDescent="0.25">
      <c r="A94" t="str">
        <f t="shared" si="1"/>
        <v>Tunjuelito2018</v>
      </c>
      <c r="B94">
        <v>2018</v>
      </c>
      <c r="C94" t="s">
        <v>50</v>
      </c>
      <c r="D94" t="str" cm="1">
        <f t="array" ref="D94">VLOOKUP(C94:C94,$M$1:$N$20,2,FALSE)</f>
        <v>Tunjuelito</v>
      </c>
      <c r="E94" s="2">
        <v>2.6661532008366299E-2</v>
      </c>
      <c r="F94" s="4">
        <v>7602.7366135216698</v>
      </c>
      <c r="G94" s="4">
        <v>7366187</v>
      </c>
      <c r="H94" s="2">
        <v>1.03211289823645</v>
      </c>
    </row>
    <row r="95" spans="1:8" x14ac:dyDescent="0.25">
      <c r="A95" t="str">
        <f t="shared" si="1"/>
        <v>Usaquén2018</v>
      </c>
      <c r="B95">
        <v>2018</v>
      </c>
      <c r="C95" t="s">
        <v>51</v>
      </c>
      <c r="D95" t="str" cm="1">
        <f t="array" ref="D95">VLOOKUP(C95:C95,$M$1:$N$20,2,FALSE)</f>
        <v>Usaquén</v>
      </c>
      <c r="E95" s="2">
        <v>8.6347049543513105E-2</v>
      </c>
      <c r="F95" s="4">
        <v>24622.511370615801</v>
      </c>
      <c r="G95" s="4">
        <v>7366187</v>
      </c>
      <c r="H95" s="2">
        <v>3.3426400077293499</v>
      </c>
    </row>
    <row r="96" spans="1:8" x14ac:dyDescent="0.25">
      <c r="A96" t="str">
        <f t="shared" si="1"/>
        <v>Usme2018</v>
      </c>
      <c r="B96">
        <v>2018</v>
      </c>
      <c r="C96" t="s">
        <v>52</v>
      </c>
      <c r="D96" t="str" cm="1">
        <f t="array" ref="D96">VLOOKUP(C96:C96,$M$1:$N$20,2,FALSE)</f>
        <v>Usme</v>
      </c>
      <c r="E96" s="2">
        <v>5.2756977512126997E-2</v>
      </c>
      <c r="F96" s="4">
        <v>15044.049397623699</v>
      </c>
      <c r="G96" s="4">
        <v>7366187</v>
      </c>
      <c r="H96" s="2">
        <v>2.04231163254798</v>
      </c>
    </row>
    <row r="97" spans="1:8" x14ac:dyDescent="0.25">
      <c r="A97" t="str">
        <f t="shared" si="1"/>
        <v>Antonio Nariño2019</v>
      </c>
      <c r="B97">
        <v>2019</v>
      </c>
      <c r="C97" t="s">
        <v>34</v>
      </c>
      <c r="D97" t="str" cm="1">
        <f t="array" ref="D97">VLOOKUP(C97:C97,$M$1:$N$20,2,FALSE)</f>
        <v>Antonio Nariño</v>
      </c>
      <c r="E97" s="2">
        <v>1.22885256228186E-2</v>
      </c>
      <c r="F97" s="4">
        <v>2820.0227175025402</v>
      </c>
      <c r="G97" s="4">
        <v>7507403</v>
      </c>
      <c r="H97" s="2">
        <v>0.37563225492258001</v>
      </c>
    </row>
    <row r="98" spans="1:8" x14ac:dyDescent="0.25">
      <c r="A98" t="str">
        <f t="shared" si="1"/>
        <v>Barrios Unidos2019</v>
      </c>
      <c r="B98">
        <v>2019</v>
      </c>
      <c r="C98" t="s">
        <v>35</v>
      </c>
      <c r="D98" t="str" cm="1">
        <f t="array" ref="D98">VLOOKUP(C98:C98,$M$1:$N$20,2,FALSE)</f>
        <v>Barrios Unidos</v>
      </c>
      <c r="E98" s="2">
        <v>1.26580470262547E-2</v>
      </c>
      <c r="F98" s="4">
        <v>2904.8220485433799</v>
      </c>
      <c r="G98" s="4">
        <v>7507403</v>
      </c>
      <c r="H98" s="2">
        <v>0.38692768305409703</v>
      </c>
    </row>
    <row r="99" spans="1:8" x14ac:dyDescent="0.25">
      <c r="A99" t="str">
        <f t="shared" si="1"/>
        <v>Bosa2019</v>
      </c>
      <c r="B99">
        <v>2019</v>
      </c>
      <c r="C99" t="s">
        <v>36</v>
      </c>
      <c r="D99" t="str" cm="1">
        <f t="array" ref="D99">VLOOKUP(C99:C99,$M$1:$N$20,2,FALSE)</f>
        <v>Bosa</v>
      </c>
      <c r="E99" s="2">
        <v>9.0925183672490403E-2</v>
      </c>
      <c r="F99" s="4">
        <v>20865.8948534382</v>
      </c>
      <c r="G99" s="4">
        <v>7507403</v>
      </c>
      <c r="H99" s="2">
        <v>2.7793758845020302</v>
      </c>
    </row>
    <row r="100" spans="1:8" x14ac:dyDescent="0.25">
      <c r="A100" t="str">
        <f t="shared" si="1"/>
        <v>La Candelaria2019</v>
      </c>
      <c r="B100">
        <v>2019</v>
      </c>
      <c r="C100" t="s">
        <v>37</v>
      </c>
      <c r="D100" t="str" cm="1">
        <f t="array" ref="D100">VLOOKUP(C100:C100,$M$1:$N$20,2,FALSE)</f>
        <v>La Candelaria</v>
      </c>
      <c r="E100" s="2">
        <v>3.5761551600176598E-3</v>
      </c>
      <c r="F100" s="4">
        <v>820.67117749562794</v>
      </c>
      <c r="G100" s="4">
        <v>7507403</v>
      </c>
      <c r="H100" s="2">
        <v>0.10931492254986599</v>
      </c>
    </row>
    <row r="101" spans="1:8" x14ac:dyDescent="0.25">
      <c r="A101" t="str">
        <f t="shared" si="1"/>
        <v>Chapinero2019</v>
      </c>
      <c r="B101">
        <v>2019</v>
      </c>
      <c r="C101" t="s">
        <v>38</v>
      </c>
      <c r="D101" t="str" cm="1">
        <f t="array" ref="D101">VLOOKUP(C101:C101,$M$1:$N$20,2,FALSE)</f>
        <v>Chapinero</v>
      </c>
      <c r="E101" s="2">
        <v>1.7969647255986099E-2</v>
      </c>
      <c r="F101" s="4">
        <v>4123.7504842151202</v>
      </c>
      <c r="G101" s="4">
        <v>7507403</v>
      </c>
      <c r="H101" s="2">
        <v>0.54929121085082599</v>
      </c>
    </row>
    <row r="102" spans="1:8" x14ac:dyDescent="0.25">
      <c r="A102" t="str">
        <f t="shared" si="1"/>
        <v>Ciudad Bolívar2019</v>
      </c>
      <c r="B102">
        <v>2019</v>
      </c>
      <c r="C102" t="s">
        <v>39</v>
      </c>
      <c r="D102" t="str" cm="1">
        <f t="array" ref="D102">VLOOKUP(C102:C102,$M$1:$N$20,2,FALSE)</f>
        <v>Ciudad Bolívar</v>
      </c>
      <c r="E102" s="2">
        <v>9.2577600182282505E-2</v>
      </c>
      <c r="F102" s="4">
        <v>21245.098367302999</v>
      </c>
      <c r="G102" s="4">
        <v>7507403</v>
      </c>
      <c r="H102" s="2">
        <v>2.82988649567673</v>
      </c>
    </row>
    <row r="103" spans="1:8" x14ac:dyDescent="0.25">
      <c r="A103" t="str">
        <f t="shared" si="1"/>
        <v>Engativá2019</v>
      </c>
      <c r="B103">
        <v>2019</v>
      </c>
      <c r="C103" t="s">
        <v>40</v>
      </c>
      <c r="D103" t="str" cm="1">
        <f t="array" ref="D103">VLOOKUP(C103:C103,$M$1:$N$20,2,FALSE)</f>
        <v>Engativá</v>
      </c>
      <c r="E103" s="2">
        <v>9.3705615277787202E-2</v>
      </c>
      <c r="F103" s="4">
        <v>21503.960031643099</v>
      </c>
      <c r="G103" s="4">
        <v>7507403</v>
      </c>
      <c r="H103" s="2">
        <v>2.8643673493541102</v>
      </c>
    </row>
    <row r="104" spans="1:8" x14ac:dyDescent="0.25">
      <c r="A104" t="str">
        <f t="shared" si="1"/>
        <v>Fontibón2019</v>
      </c>
      <c r="B104">
        <v>2019</v>
      </c>
      <c r="C104" t="s">
        <v>41</v>
      </c>
      <c r="D104" t="str" cm="1">
        <f t="array" ref="D104">VLOOKUP(C104:C104,$M$1:$N$20,2,FALSE)</f>
        <v>Fontibón</v>
      </c>
      <c r="E104" s="2">
        <v>4.1206452691570201E-2</v>
      </c>
      <c r="F104" s="4">
        <v>9456.2306548919005</v>
      </c>
      <c r="G104" s="4">
        <v>7507403</v>
      </c>
      <c r="H104" s="2">
        <v>1.25958745719284</v>
      </c>
    </row>
    <row r="105" spans="1:8" x14ac:dyDescent="0.25">
      <c r="A105" t="str">
        <f t="shared" si="1"/>
        <v>Kennedy2019</v>
      </c>
      <c r="B105">
        <v>2019</v>
      </c>
      <c r="C105" t="s">
        <v>42</v>
      </c>
      <c r="D105" t="str" cm="1">
        <f t="array" ref="D105">VLOOKUP(C105:C105,$M$1:$N$20,2,FALSE)</f>
        <v>Kennedy</v>
      </c>
      <c r="E105" s="2">
        <v>0.14332416022009201</v>
      </c>
      <c r="F105" s="4">
        <v>32890.633115262899</v>
      </c>
      <c r="G105" s="4">
        <v>7507403</v>
      </c>
      <c r="H105" s="2">
        <v>4.3810933175244298</v>
      </c>
    </row>
    <row r="106" spans="1:8" x14ac:dyDescent="0.25">
      <c r="A106" t="str">
        <f t="shared" si="1"/>
        <v>Los Mártires2019</v>
      </c>
      <c r="B106">
        <v>2019</v>
      </c>
      <c r="C106" t="s">
        <v>43</v>
      </c>
      <c r="D106" t="str" cm="1">
        <f t="array" ref="D106">VLOOKUP(C106:C106,$M$1:$N$20,2,FALSE)</f>
        <v>Los Mártires</v>
      </c>
      <c r="E106" s="2">
        <v>3.6073502938253003E-2</v>
      </c>
      <c r="F106" s="4">
        <v>8278.2996844527006</v>
      </c>
      <c r="G106" s="4">
        <v>7507403</v>
      </c>
      <c r="H106" s="2">
        <v>1.1026848677835299</v>
      </c>
    </row>
    <row r="107" spans="1:8" x14ac:dyDescent="0.25">
      <c r="A107" t="str">
        <f t="shared" si="1"/>
        <v>Puente Aranda2019</v>
      </c>
      <c r="B107">
        <v>2019</v>
      </c>
      <c r="C107" t="s">
        <v>44</v>
      </c>
      <c r="D107" t="str" cm="1">
        <f t="array" ref="D107">VLOOKUP(C107:C107,$M$1:$N$20,2,FALSE)</f>
        <v>Puente Aranda</v>
      </c>
      <c r="E107" s="2">
        <v>1.44619624714911E-2</v>
      </c>
      <c r="F107" s="4">
        <v>3318.7921774394199</v>
      </c>
      <c r="G107" s="4">
        <v>7507403</v>
      </c>
      <c r="H107" s="2">
        <v>0.44206927181602201</v>
      </c>
    </row>
    <row r="108" spans="1:8" x14ac:dyDescent="0.25">
      <c r="A108" t="str">
        <f t="shared" si="1"/>
        <v>Rafael Uribe2019</v>
      </c>
      <c r="B108">
        <v>2019</v>
      </c>
      <c r="C108" t="s">
        <v>45</v>
      </c>
      <c r="D108" t="str" cm="1">
        <f t="array" ref="D108">VLOOKUP(C108:C108,$M$1:$N$20,2,FALSE)</f>
        <v>Rafael Uribe</v>
      </c>
      <c r="E108" s="2">
        <v>5.5886035667316897E-2</v>
      </c>
      <c r="F108" s="4">
        <v>12824.9633040064</v>
      </c>
      <c r="G108" s="4">
        <v>7507403</v>
      </c>
      <c r="H108" s="2">
        <v>1.70830889243676</v>
      </c>
    </row>
    <row r="109" spans="1:8" x14ac:dyDescent="0.25">
      <c r="A109" t="str">
        <f t="shared" si="1"/>
        <v>San Cristóbal2019</v>
      </c>
      <c r="B109">
        <v>2019</v>
      </c>
      <c r="C109" t="s">
        <v>46</v>
      </c>
      <c r="D109" t="str" cm="1">
        <f t="array" ref="D109">VLOOKUP(C109:C109,$M$1:$N$20,2,FALSE)</f>
        <v>San Cristóbal</v>
      </c>
      <c r="E109" s="2">
        <v>2.4911066458412099E-2</v>
      </c>
      <c r="F109" s="4">
        <v>5716.6966555768504</v>
      </c>
      <c r="G109" s="4">
        <v>7507403</v>
      </c>
      <c r="H109" s="2">
        <v>0.76147459455378297</v>
      </c>
    </row>
    <row r="110" spans="1:8" x14ac:dyDescent="0.25">
      <c r="A110" t="str">
        <f t="shared" si="1"/>
        <v>Santa Fe2019</v>
      </c>
      <c r="B110">
        <v>2019</v>
      </c>
      <c r="C110" t="s">
        <v>47</v>
      </c>
      <c r="D110" t="str" cm="1">
        <f t="array" ref="D110">VLOOKUP(C110:C110,$M$1:$N$20,2,FALSE)</f>
        <v>Santa Fe</v>
      </c>
      <c r="E110" s="2">
        <v>1.8462958503703698E-2</v>
      </c>
      <c r="F110" s="4">
        <v>4236.9576311148103</v>
      </c>
      <c r="G110" s="4">
        <v>7507403</v>
      </c>
      <c r="H110" s="2">
        <v>0.56437061272917</v>
      </c>
    </row>
    <row r="111" spans="1:8" x14ac:dyDescent="0.25">
      <c r="A111" t="str">
        <f t="shared" si="1"/>
        <v>Suba2019</v>
      </c>
      <c r="B111">
        <v>2019</v>
      </c>
      <c r="C111" t="s">
        <v>48</v>
      </c>
      <c r="D111" t="str" cm="1">
        <f t="array" ref="D111">VLOOKUP(C111:C111,$M$1:$N$20,2,FALSE)</f>
        <v>Suba</v>
      </c>
      <c r="E111" s="2">
        <v>0.16623126420791901</v>
      </c>
      <c r="F111" s="4">
        <v>38147.452006368097</v>
      </c>
      <c r="G111" s="4">
        <v>7507403</v>
      </c>
      <c r="H111" s="2">
        <v>5.0813113411346196</v>
      </c>
    </row>
    <row r="112" spans="1:8" x14ac:dyDescent="0.25">
      <c r="A112" t="str">
        <f t="shared" si="1"/>
        <v>Teusaquillo2019</v>
      </c>
      <c r="B112">
        <v>2019</v>
      </c>
      <c r="C112" t="s">
        <v>49</v>
      </c>
      <c r="D112" t="str" cm="1">
        <f t="array" ref="D112">VLOOKUP(C112:C112,$M$1:$N$20,2,FALSE)</f>
        <v>Teusaquillo</v>
      </c>
      <c r="E112" s="2">
        <v>9.8167859237632705E-3</v>
      </c>
      <c r="F112" s="4">
        <v>2252.7974606217899</v>
      </c>
      <c r="G112" s="4">
        <v>7507403</v>
      </c>
      <c r="H112" s="2">
        <v>0.300076798943895</v>
      </c>
    </row>
    <row r="113" spans="1:8" x14ac:dyDescent="0.25">
      <c r="A113" t="str">
        <f t="shared" si="1"/>
        <v>Tunjuelito2019</v>
      </c>
      <c r="B113">
        <v>2019</v>
      </c>
      <c r="C113" t="s">
        <v>50</v>
      </c>
      <c r="D113" t="str" cm="1">
        <f t="array" ref="D113">VLOOKUP(C113:C113,$M$1:$N$20,2,FALSE)</f>
        <v>Tunjuelito</v>
      </c>
      <c r="E113" s="2">
        <v>2.6661532008366299E-2</v>
      </c>
      <c r="F113" s="4">
        <v>6118.4008769449702</v>
      </c>
      <c r="G113" s="4">
        <v>7507403</v>
      </c>
      <c r="H113" s="2">
        <v>0.81498234168925898</v>
      </c>
    </row>
    <row r="114" spans="1:8" x14ac:dyDescent="0.25">
      <c r="A114" t="str">
        <f t="shared" si="1"/>
        <v>Usaquén2019</v>
      </c>
      <c r="B114">
        <v>2019</v>
      </c>
      <c r="C114" t="s">
        <v>51</v>
      </c>
      <c r="D114" t="str" cm="1">
        <f t="array" ref="D114">VLOOKUP(C114:C114,$M$1:$N$20,2,FALSE)</f>
        <v>Usaquén</v>
      </c>
      <c r="E114" s="2">
        <v>8.6347049543513105E-2</v>
      </c>
      <c r="F114" s="4">
        <v>19815.285313794499</v>
      </c>
      <c r="G114" s="4">
        <v>7507403</v>
      </c>
      <c r="H114" s="2">
        <v>2.6394327457570199</v>
      </c>
    </row>
    <row r="115" spans="1:8" x14ac:dyDescent="0.25">
      <c r="A115" t="str">
        <f t="shared" si="1"/>
        <v>Usme2019</v>
      </c>
      <c r="B115">
        <v>2019</v>
      </c>
      <c r="C115" t="s">
        <v>52</v>
      </c>
      <c r="D115" t="str" cm="1">
        <f t="array" ref="D115">VLOOKUP(C115:C115,$M$1:$N$20,2,FALSE)</f>
        <v>Usme</v>
      </c>
      <c r="E115" s="2">
        <v>5.2756977512126997E-2</v>
      </c>
      <c r="F115" s="4">
        <v>12106.893833927999</v>
      </c>
      <c r="G115" s="4">
        <v>7507403</v>
      </c>
      <c r="H115" s="2">
        <v>1.61266070756132</v>
      </c>
    </row>
    <row r="116" spans="1:8" x14ac:dyDescent="0.25">
      <c r="A116" t="str">
        <f t="shared" si="1"/>
        <v>Antonio Nariño2020</v>
      </c>
      <c r="B116">
        <v>2020</v>
      </c>
      <c r="C116" t="s">
        <v>34</v>
      </c>
      <c r="D116" t="str" cm="1">
        <f t="array" ref="D116">VLOOKUP(C116:C116,$M$1:$N$20,2,FALSE)</f>
        <v>Antonio Nariño</v>
      </c>
      <c r="E116" s="2">
        <v>1.22885256228186E-2</v>
      </c>
      <c r="F116" s="4">
        <v>488.71478690475197</v>
      </c>
      <c r="G116" s="4">
        <v>7690578</v>
      </c>
      <c r="H116" s="2">
        <v>6.3547211523601002E-2</v>
      </c>
    </row>
    <row r="117" spans="1:8" x14ac:dyDescent="0.25">
      <c r="A117" t="str">
        <f t="shared" si="1"/>
        <v>Barrios Unidos2020</v>
      </c>
      <c r="B117">
        <v>2020</v>
      </c>
      <c r="C117" t="s">
        <v>35</v>
      </c>
      <c r="D117" t="str" cm="1">
        <f t="array" ref="D117">VLOOKUP(C117:C117,$M$1:$N$20,2,FALSE)</f>
        <v>Barrios Unidos</v>
      </c>
      <c r="E117" s="2">
        <v>1.26580470262547E-2</v>
      </c>
      <c r="F117" s="4">
        <v>503.41065681461998</v>
      </c>
      <c r="G117" s="4">
        <v>7690578</v>
      </c>
      <c r="H117" s="2">
        <v>6.5458104295232397E-2</v>
      </c>
    </row>
    <row r="118" spans="1:8" x14ac:dyDescent="0.25">
      <c r="A118" t="str">
        <f t="shared" si="1"/>
        <v>Bosa2020</v>
      </c>
      <c r="B118">
        <v>2020</v>
      </c>
      <c r="C118" t="s">
        <v>36</v>
      </c>
      <c r="D118" t="str" cm="1">
        <f t="array" ref="D118">VLOOKUP(C118:C118,$M$1:$N$20,2,FALSE)</f>
        <v>Bosa</v>
      </c>
      <c r="E118" s="2">
        <v>9.0925183672490403E-2</v>
      </c>
      <c r="F118" s="4">
        <v>3616.09546390678</v>
      </c>
      <c r="G118" s="4">
        <v>7690578</v>
      </c>
      <c r="H118" s="2">
        <v>0.47019813906143099</v>
      </c>
    </row>
    <row r="119" spans="1:8" x14ac:dyDescent="0.25">
      <c r="A119" t="str">
        <f t="shared" si="1"/>
        <v>La Candelaria2020</v>
      </c>
      <c r="B119">
        <v>2020</v>
      </c>
      <c r="C119" t="s">
        <v>37</v>
      </c>
      <c r="D119" t="str" cm="1">
        <f t="array" ref="D119">VLOOKUP(C119:C119,$M$1:$N$20,2,FALSE)</f>
        <v>La Candelaria</v>
      </c>
      <c r="E119" s="2">
        <v>3.5761551600176598E-3</v>
      </c>
      <c r="F119" s="4">
        <v>142.22372647545399</v>
      </c>
      <c r="G119" s="4">
        <v>7690578</v>
      </c>
      <c r="H119" s="2">
        <v>1.8493242832392301E-2</v>
      </c>
    </row>
    <row r="120" spans="1:8" x14ac:dyDescent="0.25">
      <c r="A120" t="str">
        <f t="shared" si="1"/>
        <v>Chapinero2020</v>
      </c>
      <c r="B120">
        <v>2020</v>
      </c>
      <c r="C120" t="s">
        <v>38</v>
      </c>
      <c r="D120" t="str" cm="1">
        <f t="array" ref="D120">VLOOKUP(C120:C120,$M$1:$N$20,2,FALSE)</f>
        <v>Chapinero</v>
      </c>
      <c r="E120" s="2">
        <v>1.7969647255986099E-2</v>
      </c>
      <c r="F120" s="4">
        <v>714.65305106704102</v>
      </c>
      <c r="G120" s="4">
        <v>7690578</v>
      </c>
      <c r="H120" s="2">
        <v>9.2925791932289295E-2</v>
      </c>
    </row>
    <row r="121" spans="1:8" x14ac:dyDescent="0.25">
      <c r="A121" t="str">
        <f t="shared" si="1"/>
        <v>Ciudad Bolívar2020</v>
      </c>
      <c r="B121">
        <v>2020</v>
      </c>
      <c r="C121" t="s">
        <v>39</v>
      </c>
      <c r="D121" t="str" cm="1">
        <f t="array" ref="D121">VLOOKUP(C121:C121,$M$1:$N$20,2,FALSE)</f>
        <v>Ciudad Bolívar</v>
      </c>
      <c r="E121" s="2">
        <v>9.2577600182282505E-2</v>
      </c>
      <c r="F121" s="4">
        <v>3681.8120850253799</v>
      </c>
      <c r="G121" s="4">
        <v>7690578</v>
      </c>
      <c r="H121" s="2">
        <v>0.47874322125403002</v>
      </c>
    </row>
    <row r="122" spans="1:8" x14ac:dyDescent="0.25">
      <c r="A122" t="str">
        <f t="shared" si="1"/>
        <v>Engativá2020</v>
      </c>
      <c r="B122">
        <v>2020</v>
      </c>
      <c r="C122" t="s">
        <v>40</v>
      </c>
      <c r="D122" t="str" cm="1">
        <f t="array" ref="D122">VLOOKUP(C122:C122,$M$1:$N$20,2,FALSE)</f>
        <v>Engativá</v>
      </c>
      <c r="E122" s="2">
        <v>9.3705615277787202E-2</v>
      </c>
      <c r="F122" s="4">
        <v>3726.6732566537498</v>
      </c>
      <c r="G122" s="4">
        <v>7690578</v>
      </c>
      <c r="H122" s="2">
        <v>0.48457648523345698</v>
      </c>
    </row>
    <row r="123" spans="1:8" x14ac:dyDescent="0.25">
      <c r="A123" t="str">
        <f t="shared" si="1"/>
        <v>Fontibón2020</v>
      </c>
      <c r="B123">
        <v>2020</v>
      </c>
      <c r="C123" t="s">
        <v>41</v>
      </c>
      <c r="D123" t="str" cm="1">
        <f t="array" ref="D123">VLOOKUP(C123:C123,$M$1:$N$20,2,FALSE)</f>
        <v>Fontibón</v>
      </c>
      <c r="E123" s="2">
        <v>4.1206452691570201E-2</v>
      </c>
      <c r="F123" s="4">
        <v>1638.78103560828</v>
      </c>
      <c r="G123" s="4">
        <v>7690578</v>
      </c>
      <c r="H123" s="2">
        <v>0.213089449922785</v>
      </c>
    </row>
    <row r="124" spans="1:8" x14ac:dyDescent="0.25">
      <c r="A124" t="str">
        <f t="shared" si="1"/>
        <v>Kennedy2020</v>
      </c>
      <c r="B124">
        <v>2020</v>
      </c>
      <c r="C124" t="s">
        <v>42</v>
      </c>
      <c r="D124" t="str" cm="1">
        <f t="array" ref="D124">VLOOKUP(C124:C124,$M$1:$N$20,2,FALSE)</f>
        <v>Kennedy</v>
      </c>
      <c r="E124" s="2">
        <v>0.14332416022009201</v>
      </c>
      <c r="F124" s="4">
        <v>5700.0032851946698</v>
      </c>
      <c r="G124" s="4">
        <v>7690578</v>
      </c>
      <c r="H124" s="2">
        <v>0.74116708590624403</v>
      </c>
    </row>
    <row r="125" spans="1:8" x14ac:dyDescent="0.25">
      <c r="A125" t="str">
        <f t="shared" si="1"/>
        <v>Los Mártires2020</v>
      </c>
      <c r="B125">
        <v>2020</v>
      </c>
      <c r="C125" t="s">
        <v>43</v>
      </c>
      <c r="D125" t="str" cm="1">
        <f t="array" ref="D125">VLOOKUP(C125:C125,$M$1:$N$20,2,FALSE)</f>
        <v>Los Mártires</v>
      </c>
      <c r="E125" s="2">
        <v>3.6073502938253003E-2</v>
      </c>
      <c r="F125" s="4">
        <v>1434.64357258935</v>
      </c>
      <c r="G125" s="4">
        <v>7690578</v>
      </c>
      <c r="H125" s="2">
        <v>0.18654561108272399</v>
      </c>
    </row>
    <row r="126" spans="1:8" x14ac:dyDescent="0.25">
      <c r="A126" t="str">
        <f t="shared" si="1"/>
        <v>Puente Aranda2020</v>
      </c>
      <c r="B126">
        <v>2020</v>
      </c>
      <c r="C126" t="s">
        <v>44</v>
      </c>
      <c r="D126" t="str" cm="1">
        <f t="array" ref="D126">VLOOKUP(C126:C126,$M$1:$N$20,2,FALSE)</f>
        <v>Puente Aranda</v>
      </c>
      <c r="E126" s="2">
        <v>1.44619624714911E-2</v>
      </c>
      <c r="F126" s="4">
        <v>575.15239211082701</v>
      </c>
      <c r="G126" s="4">
        <v>7690578</v>
      </c>
      <c r="H126" s="2">
        <v>7.4786627495466204E-2</v>
      </c>
    </row>
    <row r="127" spans="1:8" x14ac:dyDescent="0.25">
      <c r="A127" t="str">
        <f t="shared" si="1"/>
        <v>Rafael Uribe2020</v>
      </c>
      <c r="B127">
        <v>2020</v>
      </c>
      <c r="C127" t="s">
        <v>45</v>
      </c>
      <c r="D127" t="str" cm="1">
        <f t="array" ref="D127">VLOOKUP(C127:C127,$M$1:$N$20,2,FALSE)</f>
        <v>Rafael Uribe</v>
      </c>
      <c r="E127" s="2">
        <v>5.5886035667316897E-2</v>
      </c>
      <c r="F127" s="4">
        <v>2222.5881973495498</v>
      </c>
      <c r="G127" s="4">
        <v>7690578</v>
      </c>
      <c r="H127" s="2">
        <v>0.28900145052160597</v>
      </c>
    </row>
    <row r="128" spans="1:8" x14ac:dyDescent="0.25">
      <c r="A128" t="str">
        <f t="shared" si="1"/>
        <v>San Cristóbal2020</v>
      </c>
      <c r="B128">
        <v>2020</v>
      </c>
      <c r="C128" t="s">
        <v>46</v>
      </c>
      <c r="D128" t="str" cm="1">
        <f t="array" ref="D128">VLOOKUP(C128:C128,$M$1:$N$20,2,FALSE)</f>
        <v>San Cristóbal</v>
      </c>
      <c r="E128" s="2">
        <v>2.4911066458412099E-2</v>
      </c>
      <c r="F128" s="4">
        <v>990.71336216171198</v>
      </c>
      <c r="G128" s="4">
        <v>7690578</v>
      </c>
      <c r="H128" s="2">
        <v>0.12882170392936801</v>
      </c>
    </row>
    <row r="129" spans="1:8" x14ac:dyDescent="0.25">
      <c r="A129" t="str">
        <f t="shared" si="1"/>
        <v>Santa Fe2020</v>
      </c>
      <c r="B129">
        <v>2020</v>
      </c>
      <c r="C129" t="s">
        <v>47</v>
      </c>
      <c r="D129" t="str" cm="1">
        <f t="array" ref="D129">VLOOKUP(C129:C129,$M$1:$N$20,2,FALSE)</f>
        <v>Santa Fe</v>
      </c>
      <c r="E129" s="2">
        <v>1.8462958503703698E-2</v>
      </c>
      <c r="F129" s="4">
        <v>734.27204432188205</v>
      </c>
      <c r="G129" s="4">
        <v>7690578</v>
      </c>
      <c r="H129" s="2">
        <v>9.5476834682891407E-2</v>
      </c>
    </row>
    <row r="130" spans="1:8" x14ac:dyDescent="0.25">
      <c r="A130" t="str">
        <f t="shared" si="1"/>
        <v>Suba2020</v>
      </c>
      <c r="B130">
        <v>2020</v>
      </c>
      <c r="C130" t="s">
        <v>48</v>
      </c>
      <c r="D130" t="str" cm="1">
        <f t="array" ref="D130">VLOOKUP(C130:C130,$M$1:$N$20,2,FALSE)</f>
        <v>Suba</v>
      </c>
      <c r="E130" s="2">
        <v>0.16623126420791901</v>
      </c>
      <c r="F130" s="4">
        <v>6611.0190398615596</v>
      </c>
      <c r="G130" s="4">
        <v>7690578</v>
      </c>
      <c r="H130" s="2">
        <v>0.859625770632788</v>
      </c>
    </row>
    <row r="131" spans="1:8" x14ac:dyDescent="0.25">
      <c r="A131" t="str">
        <f t="shared" ref="A131:A194" si="2">D131&amp;B131</f>
        <v>Teusaquillo2020</v>
      </c>
      <c r="B131">
        <v>2020</v>
      </c>
      <c r="C131" t="s">
        <v>49</v>
      </c>
      <c r="D131" t="str" cm="1">
        <f t="array" ref="D131">VLOOKUP(C131:C131,$M$1:$N$20,2,FALSE)</f>
        <v>Teusaquillo</v>
      </c>
      <c r="E131" s="2">
        <v>9.8167859237632705E-3</v>
      </c>
      <c r="F131" s="4">
        <v>390.413674355924</v>
      </c>
      <c r="G131" s="4">
        <v>7690578</v>
      </c>
      <c r="H131" s="2">
        <v>5.0765192727506903E-2</v>
      </c>
    </row>
    <row r="132" spans="1:8" x14ac:dyDescent="0.25">
      <c r="A132" t="str">
        <f t="shared" si="2"/>
        <v>Tunjuelito2020</v>
      </c>
      <c r="B132">
        <v>2020</v>
      </c>
      <c r="C132" t="s">
        <v>50</v>
      </c>
      <c r="D132" t="str" cm="1">
        <f t="array" ref="D132">VLOOKUP(C132:C132,$M$1:$N$20,2,FALSE)</f>
        <v>Tunjuelito</v>
      </c>
      <c r="E132" s="2">
        <v>2.6661532008366299E-2</v>
      </c>
      <c r="F132" s="4">
        <v>1060.32939458805</v>
      </c>
      <c r="G132" s="4">
        <v>7690578</v>
      </c>
      <c r="H132" s="2">
        <v>0.13787382360442199</v>
      </c>
    </row>
    <row r="133" spans="1:8" x14ac:dyDescent="0.25">
      <c r="A133" t="str">
        <f t="shared" si="2"/>
        <v>Usaquén2020</v>
      </c>
      <c r="B133">
        <v>2020</v>
      </c>
      <c r="C133" t="s">
        <v>51</v>
      </c>
      <c r="D133" t="str" cm="1">
        <f t="array" ref="D133">VLOOKUP(C133:C133,$M$1:$N$20,2,FALSE)</f>
        <v>Usaquén</v>
      </c>
      <c r="E133" s="2">
        <v>8.6347049543513105E-2</v>
      </c>
      <c r="F133" s="4">
        <v>3434.0230238160102</v>
      </c>
      <c r="G133" s="4">
        <v>7690578</v>
      </c>
      <c r="H133" s="2">
        <v>0.44652339834743399</v>
      </c>
    </row>
    <row r="134" spans="1:8" x14ac:dyDescent="0.25">
      <c r="A134" t="str">
        <f t="shared" si="2"/>
        <v>Usme2020</v>
      </c>
      <c r="B134">
        <v>2020</v>
      </c>
      <c r="C134" t="s">
        <v>52</v>
      </c>
      <c r="D134" t="str" cm="1">
        <f t="array" ref="D134">VLOOKUP(C134:C134,$M$1:$N$20,2,FALSE)</f>
        <v>Usme</v>
      </c>
      <c r="E134" s="2">
        <v>5.2756977512126997E-2</v>
      </c>
      <c r="F134" s="4">
        <v>2098.14552322707</v>
      </c>
      <c r="G134" s="4">
        <v>7690578</v>
      </c>
      <c r="H134" s="2">
        <v>0.27282026438416801</v>
      </c>
    </row>
    <row r="135" spans="1:8" x14ac:dyDescent="0.25">
      <c r="A135" t="str">
        <f t="shared" si="2"/>
        <v>Antonio Nariño2021</v>
      </c>
      <c r="B135">
        <v>2021</v>
      </c>
      <c r="C135" t="s">
        <v>34</v>
      </c>
      <c r="D135" t="str" cm="1">
        <f t="array" ref="D135">VLOOKUP(C135:C135,$M$1:$N$20,2,FALSE)</f>
        <v>Antonio Nariño</v>
      </c>
      <c r="E135" s="2">
        <v>1.22885256228186E-2</v>
      </c>
      <c r="F135" s="4">
        <v>670.67221465439002</v>
      </c>
      <c r="G135" s="4">
        <v>7777174</v>
      </c>
      <c r="H135" s="2">
        <v>8.6235979117143299E-2</v>
      </c>
    </row>
    <row r="136" spans="1:8" x14ac:dyDescent="0.25">
      <c r="A136" t="str">
        <f t="shared" si="2"/>
        <v>Barrios Unidos2021</v>
      </c>
      <c r="B136">
        <v>2021</v>
      </c>
      <c r="C136" t="s">
        <v>35</v>
      </c>
      <c r="D136" t="str" cm="1">
        <f t="array" ref="D136">VLOOKUP(C136:C136,$M$1:$N$20,2,FALSE)</f>
        <v>Barrios Unidos</v>
      </c>
      <c r="E136" s="2">
        <v>1.26580470262547E-2</v>
      </c>
      <c r="F136" s="4">
        <v>690.83962493707497</v>
      </c>
      <c r="G136" s="4">
        <v>7777174</v>
      </c>
      <c r="H136" s="2">
        <v>8.8829133170618996E-2</v>
      </c>
    </row>
    <row r="137" spans="1:8" x14ac:dyDescent="0.25">
      <c r="A137" t="str">
        <f t="shared" si="2"/>
        <v>Bosa2021</v>
      </c>
      <c r="B137">
        <v>2021</v>
      </c>
      <c r="C137" t="s">
        <v>36</v>
      </c>
      <c r="D137" t="str" cm="1">
        <f t="array" ref="D137">VLOOKUP(C137:C137,$M$1:$N$20,2,FALSE)</f>
        <v>Bosa</v>
      </c>
      <c r="E137" s="2">
        <v>9.0925183672490403E-2</v>
      </c>
      <c r="F137" s="4">
        <v>4962.4337510637097</v>
      </c>
      <c r="G137" s="4">
        <v>7777174</v>
      </c>
      <c r="H137" s="2">
        <v>0.63807672955031103</v>
      </c>
    </row>
    <row r="138" spans="1:8" x14ac:dyDescent="0.25">
      <c r="A138" t="str">
        <f t="shared" si="2"/>
        <v>La Candelaria2021</v>
      </c>
      <c r="B138">
        <v>2021</v>
      </c>
      <c r="C138" t="s">
        <v>37</v>
      </c>
      <c r="D138" t="str" cm="1">
        <f t="array" ref="D138">VLOOKUP(C138:C138,$M$1:$N$20,2,FALSE)</f>
        <v>La Candelaria</v>
      </c>
      <c r="E138" s="2">
        <v>3.5761551600176598E-3</v>
      </c>
      <c r="F138" s="4">
        <v>195.176213545352</v>
      </c>
      <c r="G138" s="4">
        <v>7777174</v>
      </c>
      <c r="H138" s="2">
        <v>2.50960327678603E-2</v>
      </c>
    </row>
    <row r="139" spans="1:8" x14ac:dyDescent="0.25">
      <c r="A139" t="str">
        <f t="shared" si="2"/>
        <v>Chapinero2021</v>
      </c>
      <c r="B139">
        <v>2021</v>
      </c>
      <c r="C139" t="s">
        <v>38</v>
      </c>
      <c r="D139" t="str" cm="1">
        <f t="array" ref="D139">VLOOKUP(C139:C139,$M$1:$N$20,2,FALSE)</f>
        <v>Chapinero</v>
      </c>
      <c r="E139" s="2">
        <v>1.7969647255986099E-2</v>
      </c>
      <c r="F139" s="4">
        <v>980.73141495115397</v>
      </c>
      <c r="G139" s="4">
        <v>7777174</v>
      </c>
      <c r="H139" s="2">
        <v>0.12610382832519301</v>
      </c>
    </row>
    <row r="140" spans="1:8" x14ac:dyDescent="0.25">
      <c r="A140" t="str">
        <f t="shared" si="2"/>
        <v>Ciudad Bolívar2021</v>
      </c>
      <c r="B140">
        <v>2021</v>
      </c>
      <c r="C140" t="s">
        <v>39</v>
      </c>
      <c r="D140" t="str" cm="1">
        <f t="array" ref="D140">VLOOKUP(C140:C140,$M$1:$N$20,2,FALSE)</f>
        <v>Ciudad Bolívar</v>
      </c>
      <c r="E140" s="2">
        <v>9.2577600182282505E-2</v>
      </c>
      <c r="F140" s="4">
        <v>5052.6178686844596</v>
      </c>
      <c r="G140" s="4">
        <v>7777174</v>
      </c>
      <c r="H140" s="2">
        <v>0.64967273056825703</v>
      </c>
    </row>
    <row r="141" spans="1:8" x14ac:dyDescent="0.25">
      <c r="A141" t="str">
        <f t="shared" si="2"/>
        <v>Engativá2021</v>
      </c>
      <c r="B141">
        <v>2021</v>
      </c>
      <c r="C141" t="s">
        <v>40</v>
      </c>
      <c r="D141" t="str" cm="1">
        <f t="array" ref="D141">VLOOKUP(C141:C141,$M$1:$N$20,2,FALSE)</f>
        <v>Engativá</v>
      </c>
      <c r="E141" s="2">
        <v>9.3705615277787202E-2</v>
      </c>
      <c r="F141" s="4">
        <v>5114.18167263347</v>
      </c>
      <c r="G141" s="4">
        <v>7777174</v>
      </c>
      <c r="H141" s="2">
        <v>0.65758869129499598</v>
      </c>
    </row>
    <row r="142" spans="1:8" x14ac:dyDescent="0.25">
      <c r="A142" t="str">
        <f t="shared" si="2"/>
        <v>Fontibón2021</v>
      </c>
      <c r="B142">
        <v>2021</v>
      </c>
      <c r="C142" t="s">
        <v>41</v>
      </c>
      <c r="D142" t="str" cm="1">
        <f t="array" ref="D142">VLOOKUP(C142:C142,$M$1:$N$20,2,FALSE)</f>
        <v>Fontibón</v>
      </c>
      <c r="E142" s="2">
        <v>4.1206452691570201E-2</v>
      </c>
      <c r="F142" s="4">
        <v>2248.92910125763</v>
      </c>
      <c r="G142" s="4">
        <v>7777174</v>
      </c>
      <c r="H142" s="2">
        <v>0.28917047519544098</v>
      </c>
    </row>
    <row r="143" spans="1:8" x14ac:dyDescent="0.25">
      <c r="A143" t="str">
        <f t="shared" si="2"/>
        <v>Kennedy2021</v>
      </c>
      <c r="B143">
        <v>2021</v>
      </c>
      <c r="C143" t="s">
        <v>42</v>
      </c>
      <c r="D143" t="str" cm="1">
        <f t="array" ref="D143">VLOOKUP(C143:C143,$M$1:$N$20,2,FALSE)</f>
        <v>Kennedy</v>
      </c>
      <c r="E143" s="2">
        <v>0.14332416022009201</v>
      </c>
      <c r="F143" s="4">
        <v>7822.2184579895902</v>
      </c>
      <c r="G143" s="4">
        <v>7777174</v>
      </c>
      <c r="H143" s="2">
        <v>1.0057918799283101</v>
      </c>
    </row>
    <row r="144" spans="1:8" x14ac:dyDescent="0.25">
      <c r="A144" t="str">
        <f t="shared" si="2"/>
        <v>Los Mártires2021</v>
      </c>
      <c r="B144">
        <v>2021</v>
      </c>
      <c r="C144" t="s">
        <v>43</v>
      </c>
      <c r="D144" t="str" cm="1">
        <f t="array" ref="D144">VLOOKUP(C144:C144,$M$1:$N$20,2,FALSE)</f>
        <v>Los Mártires</v>
      </c>
      <c r="E144" s="2">
        <v>3.6073502938253003E-2</v>
      </c>
      <c r="F144" s="4">
        <v>1968.7875379463601</v>
      </c>
      <c r="G144" s="4">
        <v>7777174</v>
      </c>
      <c r="H144" s="2">
        <v>0.25314947793971898</v>
      </c>
    </row>
    <row r="145" spans="1:8" x14ac:dyDescent="0.25">
      <c r="A145" t="str">
        <f t="shared" si="2"/>
        <v>Puente Aranda2021</v>
      </c>
      <c r="B145">
        <v>2021</v>
      </c>
      <c r="C145" t="s">
        <v>44</v>
      </c>
      <c r="D145" t="str" cm="1">
        <f t="array" ref="D145">VLOOKUP(C145:C145,$M$1:$N$20,2,FALSE)</f>
        <v>Puente Aranda</v>
      </c>
      <c r="E145" s="2">
        <v>1.44619624714911E-2</v>
      </c>
      <c r="F145" s="4">
        <v>789.29211662244404</v>
      </c>
      <c r="G145" s="4">
        <v>7777174</v>
      </c>
      <c r="H145" s="2">
        <v>0.10148829338554601</v>
      </c>
    </row>
    <row r="146" spans="1:8" x14ac:dyDescent="0.25">
      <c r="A146" t="str">
        <f t="shared" si="2"/>
        <v>Rafael Uribe2021</v>
      </c>
      <c r="B146">
        <v>2021</v>
      </c>
      <c r="C146" t="s">
        <v>45</v>
      </c>
      <c r="D146" t="str" cm="1">
        <f t="array" ref="D146">VLOOKUP(C146:C146,$M$1:$N$20,2,FALSE)</f>
        <v>Rafael Uribe</v>
      </c>
      <c r="E146" s="2">
        <v>5.5886035667316897E-2</v>
      </c>
      <c r="F146" s="4">
        <v>3050.0983160790802</v>
      </c>
      <c r="G146" s="4">
        <v>7777174</v>
      </c>
      <c r="H146" s="2">
        <v>0.39218594261605599</v>
      </c>
    </row>
    <row r="147" spans="1:8" x14ac:dyDescent="0.25">
      <c r="A147" t="str">
        <f t="shared" si="2"/>
        <v>San Cristóbal2021</v>
      </c>
      <c r="B147">
        <v>2021</v>
      </c>
      <c r="C147" t="s">
        <v>46</v>
      </c>
      <c r="D147" t="str" cm="1">
        <f t="array" ref="D147">VLOOKUP(C147:C147,$M$1:$N$20,2,FALSE)</f>
        <v>San Cristóbal</v>
      </c>
      <c r="E147" s="2">
        <v>2.4911066458412099E-2</v>
      </c>
      <c r="F147" s="4">
        <v>1359.5740143180701</v>
      </c>
      <c r="G147" s="4">
        <v>7777174</v>
      </c>
      <c r="H147" s="2">
        <v>0.17481594398146</v>
      </c>
    </row>
    <row r="148" spans="1:8" x14ac:dyDescent="0.25">
      <c r="A148" t="str">
        <f t="shared" si="2"/>
        <v>Santa Fe2021</v>
      </c>
      <c r="B148">
        <v>2021</v>
      </c>
      <c r="C148" t="s">
        <v>47</v>
      </c>
      <c r="D148" t="str" cm="1">
        <f t="array" ref="D148">VLOOKUP(C148:C148,$M$1:$N$20,2,FALSE)</f>
        <v>Santa Fe</v>
      </c>
      <c r="E148" s="2">
        <v>1.8462958503703698E-2</v>
      </c>
      <c r="F148" s="4">
        <v>1007.65491718207</v>
      </c>
      <c r="G148" s="4">
        <v>7777174</v>
      </c>
      <c r="H148" s="2">
        <v>0.12956569020856101</v>
      </c>
    </row>
    <row r="149" spans="1:8" x14ac:dyDescent="0.25">
      <c r="A149" t="str">
        <f t="shared" si="2"/>
        <v>Suba2021</v>
      </c>
      <c r="B149">
        <v>2021</v>
      </c>
      <c r="C149" t="s">
        <v>48</v>
      </c>
      <c r="D149" t="str" cm="1">
        <f t="array" ref="D149">VLOOKUP(C149:C149,$M$1:$N$20,2,FALSE)</f>
        <v>Suba</v>
      </c>
      <c r="E149" s="2">
        <v>0.16623126420791901</v>
      </c>
      <c r="F149" s="4">
        <v>9072.4219921146305</v>
      </c>
      <c r="G149" s="4">
        <v>7777174</v>
      </c>
      <c r="H149" s="2">
        <v>1.16654481333639</v>
      </c>
    </row>
    <row r="150" spans="1:8" x14ac:dyDescent="0.25">
      <c r="A150" t="str">
        <f t="shared" si="2"/>
        <v>Teusaquillo2021</v>
      </c>
      <c r="B150">
        <v>2021</v>
      </c>
      <c r="C150" t="s">
        <v>49</v>
      </c>
      <c r="D150" t="str" cm="1">
        <f t="array" ref="D150">VLOOKUP(C150:C150,$M$1:$N$20,2,FALSE)</f>
        <v>Teusaquillo</v>
      </c>
      <c r="E150" s="2">
        <v>9.8167859237632705E-3</v>
      </c>
      <c r="F150" s="4">
        <v>535.77180520768002</v>
      </c>
      <c r="G150" s="4">
        <v>7777174</v>
      </c>
      <c r="H150" s="2">
        <v>6.8890294238971597E-2</v>
      </c>
    </row>
    <row r="151" spans="1:8" x14ac:dyDescent="0.25">
      <c r="A151" t="str">
        <f t="shared" si="2"/>
        <v>Tunjuelito2021</v>
      </c>
      <c r="B151">
        <v>2021</v>
      </c>
      <c r="C151" t="s">
        <v>50</v>
      </c>
      <c r="D151" t="str" cm="1">
        <f t="array" ref="D151">VLOOKUP(C151:C151,$M$1:$N$20,2,FALSE)</f>
        <v>Tunjuelito</v>
      </c>
      <c r="E151" s="2">
        <v>2.6661532008366299E-2</v>
      </c>
      <c r="F151" s="4">
        <v>1455.1093651891299</v>
      </c>
      <c r="G151" s="4">
        <v>7777174</v>
      </c>
      <c r="H151" s="2">
        <v>0.18710001411684099</v>
      </c>
    </row>
    <row r="152" spans="1:8" x14ac:dyDescent="0.25">
      <c r="A152" t="str">
        <f t="shared" si="2"/>
        <v>Usaquén2021</v>
      </c>
      <c r="B152">
        <v>2021</v>
      </c>
      <c r="C152" t="s">
        <v>51</v>
      </c>
      <c r="D152" t="str" cm="1">
        <f t="array" ref="D152">VLOOKUP(C152:C152,$M$1:$N$20,2,FALSE)</f>
        <v>Usaquén</v>
      </c>
      <c r="E152" s="2">
        <v>8.6347049543513105E-2</v>
      </c>
      <c r="F152" s="4">
        <v>4712.5724211117604</v>
      </c>
      <c r="G152" s="4">
        <v>7777174</v>
      </c>
      <c r="H152" s="2">
        <v>0.60594920739998404</v>
      </c>
    </row>
    <row r="153" spans="1:8" x14ac:dyDescent="0.25">
      <c r="A153" t="str">
        <f t="shared" si="2"/>
        <v>Usme2021</v>
      </c>
      <c r="B153">
        <v>2021</v>
      </c>
      <c r="C153" t="s">
        <v>52</v>
      </c>
      <c r="D153" t="str" cm="1">
        <f t="array" ref="D153">VLOOKUP(C153:C153,$M$1:$N$20,2,FALSE)</f>
        <v>Usme</v>
      </c>
      <c r="E153" s="2">
        <v>5.2756977512126997E-2</v>
      </c>
      <c r="F153" s="4">
        <v>2879.3233649468798</v>
      </c>
      <c r="G153" s="4">
        <v>7777174</v>
      </c>
      <c r="H153" s="2">
        <v>0.370227458579026</v>
      </c>
    </row>
    <row r="154" spans="1:8" x14ac:dyDescent="0.25">
      <c r="A154" t="str">
        <f t="shared" si="2"/>
        <v>Antonio Nariño2022</v>
      </c>
      <c r="B154">
        <v>2022</v>
      </c>
      <c r="C154" t="s">
        <v>34</v>
      </c>
      <c r="D154" t="str" cm="1">
        <f t="array" ref="D154">VLOOKUP(C154:C154,$M$1:$N$20,2,FALSE)</f>
        <v>Antonio Nariño</v>
      </c>
      <c r="E154" s="2">
        <v>1.22885256228186E-2</v>
      </c>
      <c r="F154" s="4">
        <v>1167.9881092983201</v>
      </c>
      <c r="G154" s="4">
        <v>7820740</v>
      </c>
      <c r="H154" s="2">
        <v>0.14934496087305299</v>
      </c>
    </row>
    <row r="155" spans="1:8" x14ac:dyDescent="0.25">
      <c r="A155" t="str">
        <f t="shared" si="2"/>
        <v>Barrios Unidos2022</v>
      </c>
      <c r="B155">
        <v>2022</v>
      </c>
      <c r="C155" t="s">
        <v>35</v>
      </c>
      <c r="D155" t="str" cm="1">
        <f t="array" ref="D155">VLOOKUP(C155:C155,$M$1:$N$20,2,FALSE)</f>
        <v>Barrios Unidos</v>
      </c>
      <c r="E155" s="2">
        <v>1.26580470262547E-2</v>
      </c>
      <c r="F155" s="4">
        <v>1203.1100286067799</v>
      </c>
      <c r="G155" s="4">
        <v>7820740</v>
      </c>
      <c r="H155" s="2">
        <v>0.15383582993511899</v>
      </c>
    </row>
    <row r="156" spans="1:8" x14ac:dyDescent="0.25">
      <c r="A156" t="str">
        <f t="shared" si="2"/>
        <v>Bosa2022</v>
      </c>
      <c r="B156">
        <v>2022</v>
      </c>
      <c r="C156" t="s">
        <v>36</v>
      </c>
      <c r="D156" t="str" cm="1">
        <f t="array" ref="D156">VLOOKUP(C156:C156,$M$1:$N$20,2,FALSE)</f>
        <v>Bosa</v>
      </c>
      <c r="E156" s="2">
        <v>9.0925183672490403E-2</v>
      </c>
      <c r="F156" s="4">
        <v>8642.1704787783801</v>
      </c>
      <c r="G156" s="4">
        <v>7820740</v>
      </c>
      <c r="H156" s="2">
        <v>1.1050323215933999</v>
      </c>
    </row>
    <row r="157" spans="1:8" x14ac:dyDescent="0.25">
      <c r="A157" t="str">
        <f t="shared" si="2"/>
        <v>La Candelaria2022</v>
      </c>
      <c r="B157">
        <v>2022</v>
      </c>
      <c r="C157" t="s">
        <v>37</v>
      </c>
      <c r="D157" t="str" cm="1">
        <f t="array" ref="D157">VLOOKUP(C157:C157,$M$1:$N$20,2,FALSE)</f>
        <v>La Candelaria</v>
      </c>
      <c r="E157" s="2">
        <v>3.5761551600176598E-3</v>
      </c>
      <c r="F157" s="4">
        <v>339.90299830195698</v>
      </c>
      <c r="G157" s="4">
        <v>7820740</v>
      </c>
      <c r="H157" s="2">
        <v>4.3461743812216798E-2</v>
      </c>
    </row>
    <row r="158" spans="1:8" x14ac:dyDescent="0.25">
      <c r="A158" t="str">
        <f t="shared" si="2"/>
        <v>Chapinero2022</v>
      </c>
      <c r="B158">
        <v>2022</v>
      </c>
      <c r="C158" t="s">
        <v>38</v>
      </c>
      <c r="D158" t="str" cm="1">
        <f t="array" ref="D158">VLOOKUP(C158:C158,$M$1:$N$20,2,FALSE)</f>
        <v>Chapinero</v>
      </c>
      <c r="E158" s="2">
        <v>1.7969647255986099E-2</v>
      </c>
      <c r="F158" s="4">
        <v>1707.9619612220799</v>
      </c>
      <c r="G158" s="4">
        <v>7820740</v>
      </c>
      <c r="H158" s="2">
        <v>0.218388792009717</v>
      </c>
    </row>
    <row r="159" spans="1:8" x14ac:dyDescent="0.25">
      <c r="A159" t="str">
        <f t="shared" si="2"/>
        <v>Ciudad Bolívar2022</v>
      </c>
      <c r="B159">
        <v>2022</v>
      </c>
      <c r="C159" t="s">
        <v>39</v>
      </c>
      <c r="D159" t="str" cm="1">
        <f t="array" ref="D159">VLOOKUP(C159:C159,$M$1:$N$20,2,FALSE)</f>
        <v>Ciudad Bolívar</v>
      </c>
      <c r="E159" s="2">
        <v>9.2577600182282505E-2</v>
      </c>
      <c r="F159" s="4">
        <v>8799.22779340542</v>
      </c>
      <c r="G159" s="4">
        <v>7820740</v>
      </c>
      <c r="H159" s="2">
        <v>1.1251144768149099</v>
      </c>
    </row>
    <row r="160" spans="1:8" x14ac:dyDescent="0.25">
      <c r="A160" t="str">
        <f t="shared" si="2"/>
        <v>Engativá2022</v>
      </c>
      <c r="B160">
        <v>2022</v>
      </c>
      <c r="C160" t="s">
        <v>40</v>
      </c>
      <c r="D160" t="str" cm="1">
        <f t="array" ref="D160">VLOOKUP(C160:C160,$M$1:$N$20,2,FALSE)</f>
        <v>Engativá</v>
      </c>
      <c r="E160" s="2">
        <v>9.3705615277787202E-2</v>
      </c>
      <c r="F160" s="4">
        <v>8906.4423005886001</v>
      </c>
      <c r="G160" s="4">
        <v>7820740</v>
      </c>
      <c r="H160" s="2">
        <v>1.1388234745802299</v>
      </c>
    </row>
    <row r="161" spans="1:8" x14ac:dyDescent="0.25">
      <c r="A161" t="str">
        <f t="shared" si="2"/>
        <v>Fontibón2022</v>
      </c>
      <c r="B161">
        <v>2022</v>
      </c>
      <c r="C161" t="s">
        <v>41</v>
      </c>
      <c r="D161" t="str" cm="1">
        <f t="array" ref="D161">VLOOKUP(C161:C161,$M$1:$N$20,2,FALSE)</f>
        <v>Fontibón</v>
      </c>
      <c r="E161" s="2">
        <v>4.1206452691570201E-2</v>
      </c>
      <c r="F161" s="4">
        <v>3916.5517692983099</v>
      </c>
      <c r="G161" s="4">
        <v>7820740</v>
      </c>
      <c r="H161" s="2">
        <v>0.50079043278491697</v>
      </c>
    </row>
    <row r="162" spans="1:8" x14ac:dyDescent="0.25">
      <c r="A162" t="str">
        <f t="shared" si="2"/>
        <v>Kennedy2022</v>
      </c>
      <c r="B162">
        <v>2022</v>
      </c>
      <c r="C162" t="s">
        <v>42</v>
      </c>
      <c r="D162" t="str" cm="1">
        <f t="array" ref="D162">VLOOKUP(C162:C162,$M$1:$N$20,2,FALSE)</f>
        <v>Kennedy</v>
      </c>
      <c r="E162" s="2">
        <v>0.14332416022009201</v>
      </c>
      <c r="F162" s="4">
        <v>13622.5386226471</v>
      </c>
      <c r="G162" s="4">
        <v>7820740</v>
      </c>
      <c r="H162" s="2">
        <v>1.7418477820061899</v>
      </c>
    </row>
    <row r="163" spans="1:8" x14ac:dyDescent="0.25">
      <c r="A163" t="str">
        <f t="shared" si="2"/>
        <v>Los Mártires2022</v>
      </c>
      <c r="B163">
        <v>2022</v>
      </c>
      <c r="C163" t="s">
        <v>43</v>
      </c>
      <c r="D163" t="str" cm="1">
        <f t="array" ref="D163">VLOOKUP(C163:C163,$M$1:$N$20,2,FALSE)</f>
        <v>Los Mártires</v>
      </c>
      <c r="E163" s="2">
        <v>3.6073502938253003E-2</v>
      </c>
      <c r="F163" s="4">
        <v>3428.68003744728</v>
      </c>
      <c r="G163" s="4">
        <v>7820740</v>
      </c>
      <c r="H163" s="2">
        <v>0.43840864642569399</v>
      </c>
    </row>
    <row r="164" spans="1:8" x14ac:dyDescent="0.25">
      <c r="A164" t="str">
        <f t="shared" si="2"/>
        <v>Puente Aranda2022</v>
      </c>
      <c r="B164">
        <v>2022</v>
      </c>
      <c r="C164" t="s">
        <v>44</v>
      </c>
      <c r="D164" t="str" cm="1">
        <f t="array" ref="D164">VLOOKUP(C164:C164,$M$1:$N$20,2,FALSE)</f>
        <v>Puente Aranda</v>
      </c>
      <c r="E164" s="2">
        <v>1.44619624714911E-2</v>
      </c>
      <c r="F164" s="4">
        <v>1374.5668701259401</v>
      </c>
      <c r="G164" s="4">
        <v>7820740</v>
      </c>
      <c r="H164" s="2">
        <v>0.17575918265099499</v>
      </c>
    </row>
    <row r="165" spans="1:8" x14ac:dyDescent="0.25">
      <c r="A165" t="str">
        <f t="shared" si="2"/>
        <v>Rafael Uribe2022</v>
      </c>
      <c r="B165">
        <v>2022</v>
      </c>
      <c r="C165" t="s">
        <v>45</v>
      </c>
      <c r="D165" t="str" cm="1">
        <f t="array" ref="D165">VLOOKUP(C165:C165,$M$1:$N$20,2,FALSE)</f>
        <v>Rafael Uribe</v>
      </c>
      <c r="E165" s="2">
        <v>5.5886035667316897E-2</v>
      </c>
      <c r="F165" s="4">
        <v>5311.8028263732604</v>
      </c>
      <c r="G165" s="4">
        <v>7820740</v>
      </c>
      <c r="H165" s="2">
        <v>0.67919440185625102</v>
      </c>
    </row>
    <row r="166" spans="1:8" x14ac:dyDescent="0.25">
      <c r="A166" t="str">
        <f t="shared" si="2"/>
        <v>San Cristóbal2022</v>
      </c>
      <c r="B166">
        <v>2022</v>
      </c>
      <c r="C166" t="s">
        <v>46</v>
      </c>
      <c r="D166" t="str" cm="1">
        <f t="array" ref="D166">VLOOKUP(C166:C166,$M$1:$N$20,2,FALSE)</f>
        <v>San Cristóbal</v>
      </c>
      <c r="E166" s="2">
        <v>2.4911066458412099E-2</v>
      </c>
      <c r="F166" s="4">
        <v>2367.7233792260099</v>
      </c>
      <c r="G166" s="4">
        <v>7820740</v>
      </c>
      <c r="H166" s="2">
        <v>0.30274927682367803</v>
      </c>
    </row>
    <row r="167" spans="1:8" x14ac:dyDescent="0.25">
      <c r="A167" t="str">
        <f t="shared" si="2"/>
        <v>Santa Fe2022</v>
      </c>
      <c r="B167">
        <v>2022</v>
      </c>
      <c r="C167" t="s">
        <v>47</v>
      </c>
      <c r="D167" t="str" cm="1">
        <f t="array" ref="D167">VLOOKUP(C167:C167,$M$1:$N$20,2,FALSE)</f>
        <v>Santa Fe</v>
      </c>
      <c r="E167" s="2">
        <v>1.8462958503703698E-2</v>
      </c>
      <c r="F167" s="4">
        <v>1754.84974004945</v>
      </c>
      <c r="G167" s="4">
        <v>7820740</v>
      </c>
      <c r="H167" s="2">
        <v>0.224384104323817</v>
      </c>
    </row>
    <row r="168" spans="1:8" x14ac:dyDescent="0.25">
      <c r="A168" t="str">
        <f t="shared" si="2"/>
        <v>Suba2022</v>
      </c>
      <c r="B168">
        <v>2022</v>
      </c>
      <c r="C168" t="s">
        <v>48</v>
      </c>
      <c r="D168" t="str" cm="1">
        <f t="array" ref="D168">VLOOKUP(C168:C168,$M$1:$N$20,2,FALSE)</f>
        <v>Suba</v>
      </c>
      <c r="E168" s="2">
        <v>0.16623126420791901</v>
      </c>
      <c r="F168" s="4">
        <v>15799.7912807332</v>
      </c>
      <c r="G168" s="4">
        <v>7820740</v>
      </c>
      <c r="H168" s="2">
        <v>2.0202424937708301</v>
      </c>
    </row>
    <row r="169" spans="1:8" x14ac:dyDescent="0.25">
      <c r="A169" t="str">
        <f t="shared" si="2"/>
        <v>Teusaquillo2022</v>
      </c>
      <c r="B169">
        <v>2022</v>
      </c>
      <c r="C169" t="s">
        <v>49</v>
      </c>
      <c r="D169" t="str" cm="1">
        <f t="array" ref="D169">VLOOKUP(C169:C169,$M$1:$N$20,2,FALSE)</f>
        <v>Teusaquillo</v>
      </c>
      <c r="E169" s="2">
        <v>9.8167859237632705E-3</v>
      </c>
      <c r="F169" s="4">
        <v>933.05654253522403</v>
      </c>
      <c r="G169" s="4">
        <v>7820740</v>
      </c>
      <c r="H169" s="2">
        <v>0.119305403649172</v>
      </c>
    </row>
    <row r="170" spans="1:8" x14ac:dyDescent="0.25">
      <c r="A170" t="str">
        <f t="shared" si="2"/>
        <v>Tunjuelito2022</v>
      </c>
      <c r="B170">
        <v>2022</v>
      </c>
      <c r="C170" t="s">
        <v>50</v>
      </c>
      <c r="D170" t="str" cm="1">
        <f t="array" ref="D170">VLOOKUP(C170:C170,$M$1:$N$20,2,FALSE)</f>
        <v>Tunjuelito</v>
      </c>
      <c r="E170" s="2">
        <v>2.6661532008366299E-2</v>
      </c>
      <c r="F170" s="4">
        <v>2534.0999658757901</v>
      </c>
      <c r="G170" s="4">
        <v>7820740</v>
      </c>
      <c r="H170" s="2">
        <v>0.32402304204919102</v>
      </c>
    </row>
    <row r="171" spans="1:8" x14ac:dyDescent="0.25">
      <c r="A171" t="str">
        <f t="shared" si="2"/>
        <v>Usaquén2022</v>
      </c>
      <c r="B171">
        <v>2022</v>
      </c>
      <c r="C171" t="s">
        <v>51</v>
      </c>
      <c r="D171" t="str" cm="1">
        <f t="array" ref="D171">VLOOKUP(C171:C171,$M$1:$N$20,2,FALSE)</f>
        <v>Usaquén</v>
      </c>
      <c r="E171" s="2">
        <v>8.6347049543513105E-2</v>
      </c>
      <c r="F171" s="4">
        <v>8207.0323353147705</v>
      </c>
      <c r="G171" s="4">
        <v>7820740</v>
      </c>
      <c r="H171" s="2">
        <v>1.04939332279487</v>
      </c>
    </row>
    <row r="172" spans="1:8" x14ac:dyDescent="0.25">
      <c r="A172" t="str">
        <f t="shared" si="2"/>
        <v>Usme2022</v>
      </c>
      <c r="B172">
        <v>2022</v>
      </c>
      <c r="C172" t="s">
        <v>52</v>
      </c>
      <c r="D172" t="str" cm="1">
        <f t="array" ref="D172">VLOOKUP(C172:C172,$M$1:$N$20,2,FALSE)</f>
        <v>Usme</v>
      </c>
      <c r="E172" s="2">
        <v>5.2756977512126997E-2</v>
      </c>
      <c r="F172" s="4">
        <v>5014.3950794440098</v>
      </c>
      <c r="G172" s="4">
        <v>7820740</v>
      </c>
      <c r="H172" s="2">
        <v>0.641166319228616</v>
      </c>
    </row>
    <row r="173" spans="1:8" x14ac:dyDescent="0.25">
      <c r="A173" t="str">
        <f t="shared" si="2"/>
        <v>Antonio Nariño2023</v>
      </c>
      <c r="B173">
        <v>2023</v>
      </c>
      <c r="C173" t="s">
        <v>34</v>
      </c>
      <c r="D173" t="str" cm="1">
        <f t="array" ref="D173">VLOOKUP(C173:C173,$M$1:$N$20,2,FALSE)</f>
        <v>Antonio Nariño</v>
      </c>
      <c r="E173" s="2">
        <v>1.22885256228186E-2</v>
      </c>
      <c r="F173" s="4">
        <v>1208.6117630727499</v>
      </c>
      <c r="G173" s="4">
        <v>7854783</v>
      </c>
      <c r="H173" s="2">
        <v>0.15386952931389</v>
      </c>
    </row>
    <row r="174" spans="1:8" x14ac:dyDescent="0.25">
      <c r="A174" t="str">
        <f t="shared" si="2"/>
        <v>Barrios Unidos2023</v>
      </c>
      <c r="B174">
        <v>2023</v>
      </c>
      <c r="C174" t="s">
        <v>35</v>
      </c>
      <c r="D174" t="str" cm="1">
        <f t="array" ref="D174">VLOOKUP(C174:C174,$M$1:$N$20,2,FALSE)</f>
        <v>Barrios Unidos</v>
      </c>
      <c r="E174" s="2">
        <v>1.26580470262547E-2</v>
      </c>
      <c r="F174" s="4">
        <v>1244.9552536271101</v>
      </c>
      <c r="G174" s="4">
        <v>7854783</v>
      </c>
      <c r="H174" s="2">
        <v>0.15849645415119901</v>
      </c>
    </row>
    <row r="175" spans="1:8" x14ac:dyDescent="0.25">
      <c r="A175" t="str">
        <f t="shared" si="2"/>
        <v>Bosa2023</v>
      </c>
      <c r="B175">
        <v>2023</v>
      </c>
      <c r="C175" t="s">
        <v>36</v>
      </c>
      <c r="D175" t="str" cm="1">
        <f t="array" ref="D175">VLOOKUP(C175:C175,$M$1:$N$20,2,FALSE)</f>
        <v>Bosa</v>
      </c>
      <c r="E175" s="2">
        <v>9.0925183672490403E-2</v>
      </c>
      <c r="F175" s="4">
        <v>8942.7527694665696</v>
      </c>
      <c r="G175" s="4">
        <v>7854783</v>
      </c>
      <c r="H175" s="2">
        <v>1.13851048074359</v>
      </c>
    </row>
    <row r="176" spans="1:8" x14ac:dyDescent="0.25">
      <c r="A176" t="str">
        <f t="shared" si="2"/>
        <v>La Candelaria2023</v>
      </c>
      <c r="B176">
        <v>2023</v>
      </c>
      <c r="C176" t="s">
        <v>37</v>
      </c>
      <c r="D176" t="str" cm="1">
        <f t="array" ref="D176">VLOOKUP(C176:C176,$M$1:$N$20,2,FALSE)</f>
        <v>La Candelaria</v>
      </c>
      <c r="E176" s="2">
        <v>3.5761551600176598E-3</v>
      </c>
      <c r="F176" s="4">
        <v>351.72512355304599</v>
      </c>
      <c r="G176" s="4">
        <v>7854783</v>
      </c>
      <c r="H176" s="2">
        <v>4.4778464733277297E-2</v>
      </c>
    </row>
    <row r="177" spans="1:8" x14ac:dyDescent="0.25">
      <c r="A177" t="str">
        <f t="shared" si="2"/>
        <v>Chapinero2023</v>
      </c>
      <c r="B177">
        <v>2023</v>
      </c>
      <c r="C177" t="s">
        <v>38</v>
      </c>
      <c r="D177" t="str" cm="1">
        <f t="array" ref="D177">VLOOKUP(C177:C177,$M$1:$N$20,2,FALSE)</f>
        <v>Chapinero</v>
      </c>
      <c r="E177" s="2">
        <v>1.7969647255986099E-2</v>
      </c>
      <c r="F177" s="4">
        <v>1767.3663805138599</v>
      </c>
      <c r="G177" s="4">
        <v>7854783</v>
      </c>
      <c r="H177" s="2">
        <v>0.22500511860274999</v>
      </c>
    </row>
    <row r="178" spans="1:8" x14ac:dyDescent="0.25">
      <c r="A178" t="str">
        <f t="shared" si="2"/>
        <v>Ciudad Bolívar2023</v>
      </c>
      <c r="B178">
        <v>2023</v>
      </c>
      <c r="C178" t="s">
        <v>39</v>
      </c>
      <c r="D178" t="str" cm="1">
        <f t="array" ref="D178">VLOOKUP(C178:C178,$M$1:$N$20,2,FALSE)</f>
        <v>Ciudad Bolívar</v>
      </c>
      <c r="E178" s="2">
        <v>9.2577600182282505E-2</v>
      </c>
      <c r="F178" s="4">
        <v>9105.2726756400098</v>
      </c>
      <c r="G178" s="4">
        <v>7854783</v>
      </c>
      <c r="H178" s="2">
        <v>1.15920104675584</v>
      </c>
    </row>
    <row r="179" spans="1:8" x14ac:dyDescent="0.25">
      <c r="A179" t="str">
        <f t="shared" si="2"/>
        <v>Engativá2023</v>
      </c>
      <c r="B179">
        <v>2023</v>
      </c>
      <c r="C179" t="s">
        <v>40</v>
      </c>
      <c r="D179" t="str" cm="1">
        <f t="array" ref="D179">VLOOKUP(C179:C179,$M$1:$N$20,2,FALSE)</f>
        <v>Engativá</v>
      </c>
      <c r="E179" s="2">
        <v>9.3705615277787202E-2</v>
      </c>
      <c r="F179" s="4">
        <v>9216.2161976862208</v>
      </c>
      <c r="G179" s="4">
        <v>7854783</v>
      </c>
      <c r="H179" s="2">
        <v>1.17332537355726</v>
      </c>
    </row>
    <row r="180" spans="1:8" x14ac:dyDescent="0.25">
      <c r="A180" t="str">
        <f t="shared" si="2"/>
        <v>Fontibón2023</v>
      </c>
      <c r="B180">
        <v>2023</v>
      </c>
      <c r="C180" t="s">
        <v>41</v>
      </c>
      <c r="D180" t="str" cm="1">
        <f t="array" ref="D180">VLOOKUP(C180:C180,$M$1:$N$20,2,FALSE)</f>
        <v>Fontibón</v>
      </c>
      <c r="E180" s="2">
        <v>4.1206452691570201E-2</v>
      </c>
      <c r="F180" s="4">
        <v>4052.77288473516</v>
      </c>
      <c r="G180" s="4">
        <v>7854783</v>
      </c>
      <c r="H180" s="2">
        <v>0.51596242502627498</v>
      </c>
    </row>
    <row r="181" spans="1:8" x14ac:dyDescent="0.25">
      <c r="A181" t="str">
        <f t="shared" si="2"/>
        <v>Kennedy2023</v>
      </c>
      <c r="B181">
        <v>2023</v>
      </c>
      <c r="C181" t="s">
        <v>42</v>
      </c>
      <c r="D181" t="str" cm="1">
        <f t="array" ref="D181">VLOOKUP(C181:C181,$M$1:$N$20,2,FALSE)</f>
        <v>Kennedy</v>
      </c>
      <c r="E181" s="2">
        <v>0.14332416022009201</v>
      </c>
      <c r="F181" s="4">
        <v>14096.342497985899</v>
      </c>
      <c r="G181" s="4">
        <v>7854783</v>
      </c>
      <c r="H181" s="2">
        <v>1.79461895993637</v>
      </c>
    </row>
    <row r="182" spans="1:8" x14ac:dyDescent="0.25">
      <c r="A182" t="str">
        <f t="shared" si="2"/>
        <v>Los Mártires2023</v>
      </c>
      <c r="B182">
        <v>2023</v>
      </c>
      <c r="C182" t="s">
        <v>43</v>
      </c>
      <c r="D182" t="str" cm="1">
        <f t="array" ref="D182">VLOOKUP(C182:C182,$M$1:$N$20,2,FALSE)</f>
        <v>Los Mártires</v>
      </c>
      <c r="E182" s="2">
        <v>3.6073502938253003E-2</v>
      </c>
      <c r="F182" s="4">
        <v>3547.9325449306202</v>
      </c>
      <c r="G182" s="4">
        <v>7854783</v>
      </c>
      <c r="H182" s="2">
        <v>0.45169071442592601</v>
      </c>
    </row>
    <row r="183" spans="1:8" x14ac:dyDescent="0.25">
      <c r="A183" t="str">
        <f t="shared" si="2"/>
        <v>Puente Aranda2023</v>
      </c>
      <c r="B183">
        <v>2023</v>
      </c>
      <c r="C183" t="s">
        <v>44</v>
      </c>
      <c r="D183" t="str" cm="1">
        <f t="array" ref="D183">VLOOKUP(C183:C183,$M$1:$N$20,2,FALSE)</f>
        <v>Puente Aranda</v>
      </c>
      <c r="E183" s="2">
        <v>1.44619624714911E-2</v>
      </c>
      <c r="F183" s="4">
        <v>1422.37551490345</v>
      </c>
      <c r="G183" s="4">
        <v>7854783</v>
      </c>
      <c r="H183" s="2">
        <v>0.18108399874362499</v>
      </c>
    </row>
    <row r="184" spans="1:8" x14ac:dyDescent="0.25">
      <c r="A184" t="str">
        <f t="shared" si="2"/>
        <v>Rafael Uribe2023</v>
      </c>
      <c r="B184">
        <v>2023</v>
      </c>
      <c r="C184" t="s">
        <v>45</v>
      </c>
      <c r="D184" t="str" cm="1">
        <f t="array" ref="D184">VLOOKUP(C184:C184,$M$1:$N$20,2,FALSE)</f>
        <v>Rafael Uribe</v>
      </c>
      <c r="E184" s="2">
        <v>5.5886035667316897E-2</v>
      </c>
      <c r="F184" s="4">
        <v>5496.5520008029898</v>
      </c>
      <c r="G184" s="4">
        <v>7854783</v>
      </c>
      <c r="H184" s="2">
        <v>0.69977133687881499</v>
      </c>
    </row>
    <row r="185" spans="1:8" x14ac:dyDescent="0.25">
      <c r="A185" t="str">
        <f t="shared" si="2"/>
        <v>San Cristóbal2023</v>
      </c>
      <c r="B185">
        <v>2023</v>
      </c>
      <c r="C185" t="s">
        <v>46</v>
      </c>
      <c r="D185" t="str" cm="1">
        <f t="array" ref="D185">VLOOKUP(C185:C185,$M$1:$N$20,2,FALSE)</f>
        <v>San Cristóbal</v>
      </c>
      <c r="E185" s="2">
        <v>2.4911066458412099E-2</v>
      </c>
      <c r="F185" s="4">
        <v>2450.0748809455599</v>
      </c>
      <c r="G185" s="4">
        <v>7854783</v>
      </c>
      <c r="H185" s="2">
        <v>0.31192139629389698</v>
      </c>
    </row>
    <row r="186" spans="1:8" x14ac:dyDescent="0.25">
      <c r="A186" t="str">
        <f t="shared" si="2"/>
        <v>Santa Fe2023</v>
      </c>
      <c r="B186">
        <v>2023</v>
      </c>
      <c r="C186" t="s">
        <v>47</v>
      </c>
      <c r="D186" t="str" cm="1">
        <f t="array" ref="D186">VLOOKUP(C186:C186,$M$1:$N$20,2,FALSE)</f>
        <v>Santa Fe</v>
      </c>
      <c r="E186" s="2">
        <v>1.8462958503703698E-2</v>
      </c>
      <c r="F186" s="4">
        <v>1815.8849575301699</v>
      </c>
      <c r="G186" s="4">
        <v>7854783</v>
      </c>
      <c r="H186" s="2">
        <v>0.23118206544091199</v>
      </c>
    </row>
    <row r="187" spans="1:8" x14ac:dyDescent="0.25">
      <c r="A187" t="str">
        <f t="shared" si="2"/>
        <v>Suba2023</v>
      </c>
      <c r="B187">
        <v>2023</v>
      </c>
      <c r="C187" t="s">
        <v>48</v>
      </c>
      <c r="D187" t="str" cm="1">
        <f t="array" ref="D187">VLOOKUP(C187:C187,$M$1:$N$20,2,FALSE)</f>
        <v>Suba</v>
      </c>
      <c r="E187" s="2">
        <v>0.16623126420791901</v>
      </c>
      <c r="F187" s="4">
        <v>16349.321918577099</v>
      </c>
      <c r="G187" s="4">
        <v>7854783</v>
      </c>
      <c r="H187" s="2">
        <v>2.0814479430656498</v>
      </c>
    </row>
    <row r="188" spans="1:8" x14ac:dyDescent="0.25">
      <c r="A188" t="str">
        <f t="shared" si="2"/>
        <v>Teusaquillo2023</v>
      </c>
      <c r="B188">
        <v>2023</v>
      </c>
      <c r="C188" t="s">
        <v>49</v>
      </c>
      <c r="D188" t="str" cm="1">
        <f t="array" ref="D188">VLOOKUP(C188:C188,$M$1:$N$20,2,FALSE)</f>
        <v>Teusaquillo</v>
      </c>
      <c r="E188" s="2">
        <v>9.8167859237632705E-3</v>
      </c>
      <c r="F188" s="4">
        <v>965.50906977771899</v>
      </c>
      <c r="G188" s="4">
        <v>7854783</v>
      </c>
      <c r="H188" s="2">
        <v>0.122919890947684</v>
      </c>
    </row>
    <row r="189" spans="1:8" x14ac:dyDescent="0.25">
      <c r="A189" t="str">
        <f t="shared" si="2"/>
        <v>Tunjuelito2023</v>
      </c>
      <c r="B189">
        <v>2023</v>
      </c>
      <c r="C189" t="s">
        <v>50</v>
      </c>
      <c r="D189" t="str" cm="1">
        <f t="array" ref="D189">VLOOKUP(C189:C189,$M$1:$N$20,2,FALSE)</f>
        <v>Tunjuelito</v>
      </c>
      <c r="E189" s="2">
        <v>2.6661532008366299E-2</v>
      </c>
      <c r="F189" s="4">
        <v>2622.23819161969</v>
      </c>
      <c r="G189" s="4">
        <v>7854783</v>
      </c>
      <c r="H189" s="2">
        <v>0.33383967343460502</v>
      </c>
    </row>
    <row r="190" spans="1:8" x14ac:dyDescent="0.25">
      <c r="A190" t="str">
        <f t="shared" si="2"/>
        <v>Usaquén2023</v>
      </c>
      <c r="B190">
        <v>2023</v>
      </c>
      <c r="C190" t="s">
        <v>51</v>
      </c>
      <c r="D190" t="str" cm="1">
        <f t="array" ref="D190">VLOOKUP(C190:C190,$M$1:$N$20,2,FALSE)</f>
        <v>Usaquén</v>
      </c>
      <c r="E190" s="2">
        <v>8.6347049543513105E-2</v>
      </c>
      <c r="F190" s="4">
        <v>8492.4801386367108</v>
      </c>
      <c r="G190" s="4">
        <v>7854783</v>
      </c>
      <c r="H190" s="2">
        <v>1.08118583780567</v>
      </c>
    </row>
    <row r="191" spans="1:8" x14ac:dyDescent="0.25">
      <c r="A191" t="str">
        <f t="shared" si="2"/>
        <v>Usme2023</v>
      </c>
      <c r="B191">
        <v>2023</v>
      </c>
      <c r="C191" t="s">
        <v>52</v>
      </c>
      <c r="D191" t="str" cm="1">
        <f t="array" ref="D191">VLOOKUP(C191:C191,$M$1:$N$20,2,FALSE)</f>
        <v>Usme</v>
      </c>
      <c r="E191" s="2">
        <v>5.2756977512126997E-2</v>
      </c>
      <c r="F191" s="4">
        <v>5188.8001508431498</v>
      </c>
      <c r="G191" s="4">
        <v>7854783</v>
      </c>
      <c r="H191" s="2">
        <v>0.66059115202076801</v>
      </c>
    </row>
    <row r="192" spans="1:8" x14ac:dyDescent="0.25">
      <c r="A192" t="str">
        <f t="shared" si="2"/>
        <v>Antonio Nariño2024</v>
      </c>
      <c r="B192">
        <v>2024</v>
      </c>
      <c r="C192" t="s">
        <v>34</v>
      </c>
      <c r="D192" t="str" cm="1">
        <f t="array" ref="D192">VLOOKUP(C192:C192,$M$1:$N$20,2,FALSE)</f>
        <v>Antonio Nariño</v>
      </c>
      <c r="E192" s="2">
        <v>1.22885256228186E-2</v>
      </c>
      <c r="F192" s="4">
        <v>1446.7667075448901</v>
      </c>
      <c r="G192" s="4">
        <v>7888813</v>
      </c>
      <c r="H192" s="2">
        <v>0.18339472713384</v>
      </c>
    </row>
    <row r="193" spans="1:8" x14ac:dyDescent="0.25">
      <c r="A193" t="str">
        <f t="shared" si="2"/>
        <v>Barrios Unidos2024</v>
      </c>
      <c r="B193">
        <v>2024</v>
      </c>
      <c r="C193" t="s">
        <v>35</v>
      </c>
      <c r="D193" t="str" cm="1">
        <f t="array" ref="D193">VLOOKUP(C193:C193,$M$1:$N$20,2,FALSE)</f>
        <v>Barrios Unidos</v>
      </c>
      <c r="E193" s="2">
        <v>1.26580470262547E-2</v>
      </c>
      <c r="F193" s="4">
        <v>1490.27162266863</v>
      </c>
      <c r="G193" s="4">
        <v>7888813</v>
      </c>
      <c r="H193" s="2">
        <v>0.18890948773517999</v>
      </c>
    </row>
    <row r="194" spans="1:8" x14ac:dyDescent="0.25">
      <c r="A194" t="str">
        <f t="shared" si="2"/>
        <v>Bosa2024</v>
      </c>
      <c r="B194">
        <v>2024</v>
      </c>
      <c r="C194" t="s">
        <v>36</v>
      </c>
      <c r="D194" t="str" cm="1">
        <f t="array" ref="D194">VLOOKUP(C194:C194,$M$1:$N$20,2,FALSE)</f>
        <v>Bosa</v>
      </c>
      <c r="E194" s="2">
        <v>9.0925183672490403E-2</v>
      </c>
      <c r="F194" s="4">
        <v>10704.907378839</v>
      </c>
      <c r="G194" s="4">
        <v>7888813</v>
      </c>
      <c r="H194" s="2">
        <v>1.3569731439747701</v>
      </c>
    </row>
    <row r="195" spans="1:8" x14ac:dyDescent="0.25">
      <c r="A195" t="str">
        <f t="shared" ref="A195:A210" si="3">D195&amp;B195</f>
        <v>La Candelaria2024</v>
      </c>
      <c r="B195">
        <v>2024</v>
      </c>
      <c r="C195" t="s">
        <v>37</v>
      </c>
      <c r="D195" t="str" cm="1">
        <f t="array" ref="D195">VLOOKUP(C195:C195,$M$1:$N$20,2,FALSE)</f>
        <v>La Candelaria</v>
      </c>
      <c r="E195" s="2">
        <v>3.5761551600176598E-3</v>
      </c>
      <c r="F195" s="4">
        <v>421.03197611608198</v>
      </c>
      <c r="G195" s="4">
        <v>7888813</v>
      </c>
      <c r="H195" s="2">
        <v>5.3370763905302598E-2</v>
      </c>
    </row>
    <row r="196" spans="1:8" x14ac:dyDescent="0.25">
      <c r="A196" t="str">
        <f t="shared" si="3"/>
        <v>Chapinero2024</v>
      </c>
      <c r="B196">
        <v>2024</v>
      </c>
      <c r="C196" t="s">
        <v>38</v>
      </c>
      <c r="D196" t="str" cm="1">
        <f t="array" ref="D196">VLOOKUP(C196:C196,$M$1:$N$20,2,FALSE)</f>
        <v>Chapinero</v>
      </c>
      <c r="E196" s="2">
        <v>1.7969647255986099E-2</v>
      </c>
      <c r="F196" s="4">
        <v>2115.6229961396298</v>
      </c>
      <c r="G196" s="4">
        <v>7888813</v>
      </c>
      <c r="H196" s="2">
        <v>0.26818014270836799</v>
      </c>
    </row>
    <row r="197" spans="1:8" x14ac:dyDescent="0.25">
      <c r="A197" t="str">
        <f t="shared" si="3"/>
        <v>Ciudad Bolívar2024</v>
      </c>
      <c r="B197">
        <v>2024</v>
      </c>
      <c r="C197" t="s">
        <v>39</v>
      </c>
      <c r="D197" t="str" cm="1">
        <f t="array" ref="D197">VLOOKUP(C197:C197,$M$1:$N$20,2,FALSE)</f>
        <v>Ciudad Bolívar</v>
      </c>
      <c r="E197" s="2">
        <v>9.2577600182282505E-2</v>
      </c>
      <c r="F197" s="4">
        <v>10899.4515631247</v>
      </c>
      <c r="G197" s="4">
        <v>7888813</v>
      </c>
      <c r="H197" s="2">
        <v>1.3816339116068199</v>
      </c>
    </row>
    <row r="198" spans="1:8" x14ac:dyDescent="0.25">
      <c r="A198" t="str">
        <f t="shared" si="3"/>
        <v>Engativá2024</v>
      </c>
      <c r="B198">
        <v>2024</v>
      </c>
      <c r="C198" t="s">
        <v>40</v>
      </c>
      <c r="D198" t="str" cm="1">
        <f t="array" ref="D198">VLOOKUP(C198:C198,$M$1:$N$20,2,FALSE)</f>
        <v>Engativá</v>
      </c>
      <c r="E198" s="2">
        <v>9.3705615277787202E-2</v>
      </c>
      <c r="F198" s="4">
        <v>11032.256322285901</v>
      </c>
      <c r="G198" s="4">
        <v>7888813</v>
      </c>
      <c r="H198" s="2">
        <v>1.3984684796414699</v>
      </c>
    </row>
    <row r="199" spans="1:8" x14ac:dyDescent="0.25">
      <c r="A199" t="str">
        <f t="shared" si="3"/>
        <v>Fontibón2024</v>
      </c>
      <c r="B199">
        <v>2024</v>
      </c>
      <c r="C199" t="s">
        <v>41</v>
      </c>
      <c r="D199" t="str" cm="1">
        <f t="array" ref="D199">VLOOKUP(C199:C199,$M$1:$N$20,2,FALSE)</f>
        <v>Fontibón</v>
      </c>
      <c r="E199" s="2">
        <v>4.1206452691570201E-2</v>
      </c>
      <c r="F199" s="4">
        <v>4851.3650636400198</v>
      </c>
      <c r="G199" s="4">
        <v>7888813</v>
      </c>
      <c r="H199" s="2">
        <v>0.614967684446319</v>
      </c>
    </row>
    <row r="200" spans="1:8" x14ac:dyDescent="0.25">
      <c r="A200" t="str">
        <f t="shared" si="3"/>
        <v>Kennedy2024</v>
      </c>
      <c r="B200">
        <v>2024</v>
      </c>
      <c r="C200" t="s">
        <v>42</v>
      </c>
      <c r="D200" t="str" cm="1">
        <f t="array" ref="D200">VLOOKUP(C200:C200,$M$1:$N$20,2,FALSE)</f>
        <v>Kennedy</v>
      </c>
      <c r="E200" s="2">
        <v>0.14332416022009201</v>
      </c>
      <c r="F200" s="4">
        <v>16874.0034205745</v>
      </c>
      <c r="G200" s="4">
        <v>7888813</v>
      </c>
      <c r="H200" s="2">
        <v>2.1389787564459399</v>
      </c>
    </row>
    <row r="201" spans="1:8" x14ac:dyDescent="0.25">
      <c r="A201" t="str">
        <f t="shared" si="3"/>
        <v>Los Mártires2024</v>
      </c>
      <c r="B201">
        <v>2024</v>
      </c>
      <c r="C201" t="s">
        <v>43</v>
      </c>
      <c r="D201" t="str" cm="1">
        <f t="array" ref="D201">VLOOKUP(C201:C201,$M$1:$N$20,2,FALSE)</f>
        <v>Los Mártires</v>
      </c>
      <c r="E201" s="2">
        <v>3.6073502938253003E-2</v>
      </c>
      <c r="F201" s="4">
        <v>4247.0467717197598</v>
      </c>
      <c r="G201" s="4">
        <v>7888813</v>
      </c>
      <c r="H201" s="2">
        <v>0.538363220388131</v>
      </c>
    </row>
    <row r="202" spans="1:8" x14ac:dyDescent="0.25">
      <c r="A202" t="str">
        <f t="shared" si="3"/>
        <v>Puente Aranda2024</v>
      </c>
      <c r="B202">
        <v>2024</v>
      </c>
      <c r="C202" t="s">
        <v>44</v>
      </c>
      <c r="D202" t="str" cm="1">
        <f t="array" ref="D202">VLOOKUP(C202:C202,$M$1:$N$20,2,FALSE)</f>
        <v>Puente Aranda</v>
      </c>
      <c r="E202" s="2">
        <v>1.44619624714911E-2</v>
      </c>
      <c r="F202" s="4">
        <v>1702.6522523308099</v>
      </c>
      <c r="G202" s="4">
        <v>7888813</v>
      </c>
      <c r="H202" s="2">
        <v>0.21583123498184201</v>
      </c>
    </row>
    <row r="203" spans="1:8" x14ac:dyDescent="0.25">
      <c r="A203" t="str">
        <f t="shared" si="3"/>
        <v>Rafael Uribe2024</v>
      </c>
      <c r="B203">
        <v>2024</v>
      </c>
      <c r="C203" t="s">
        <v>45</v>
      </c>
      <c r="D203" t="str" cm="1">
        <f t="array" ref="D203">VLOOKUP(C203:C203,$M$1:$N$20,2,FALSE)</f>
        <v>Rafael Uribe</v>
      </c>
      <c r="E203" s="2">
        <v>5.5886035667316897E-2</v>
      </c>
      <c r="F203" s="4">
        <v>6579.63846126522</v>
      </c>
      <c r="G203" s="4">
        <v>7888813</v>
      </c>
      <c r="H203" s="2">
        <v>0.83404670148287396</v>
      </c>
    </row>
    <row r="204" spans="1:8" x14ac:dyDescent="0.25">
      <c r="A204" t="str">
        <f t="shared" si="3"/>
        <v>San Cristóbal2024</v>
      </c>
      <c r="B204">
        <v>2024</v>
      </c>
      <c r="C204" t="s">
        <v>46</v>
      </c>
      <c r="D204" t="str" cm="1">
        <f t="array" ref="D204">VLOOKUP(C204:C204,$M$1:$N$20,2,FALSE)</f>
        <v>San Cristóbal</v>
      </c>
      <c r="E204" s="2">
        <v>2.4911066458412099E-2</v>
      </c>
      <c r="F204" s="4">
        <v>2932.8580748975301</v>
      </c>
      <c r="G204" s="4">
        <v>7888813</v>
      </c>
      <c r="H204" s="2">
        <v>0.37177431825263602</v>
      </c>
    </row>
    <row r="205" spans="1:8" x14ac:dyDescent="0.25">
      <c r="A205" t="str">
        <f t="shared" si="3"/>
        <v>Santa Fe2024</v>
      </c>
      <c r="B205">
        <v>2024</v>
      </c>
      <c r="C205" t="s">
        <v>47</v>
      </c>
      <c r="D205" t="str" cm="1">
        <f t="array" ref="D205">VLOOKUP(C205:C205,$M$1:$N$20,2,FALSE)</f>
        <v>Santa Fe</v>
      </c>
      <c r="E205" s="2">
        <v>1.8462958503703698E-2</v>
      </c>
      <c r="F205" s="4">
        <v>2173.7020783307398</v>
      </c>
      <c r="G205" s="4">
        <v>7888813</v>
      </c>
      <c r="H205" s="2">
        <v>0.27554235070989003</v>
      </c>
    </row>
    <row r="206" spans="1:8" x14ac:dyDescent="0.25">
      <c r="A206" t="str">
        <f t="shared" si="3"/>
        <v>Suba2024</v>
      </c>
      <c r="B206">
        <v>2024</v>
      </c>
      <c r="C206" t="s">
        <v>48</v>
      </c>
      <c r="D206" t="str" cm="1">
        <f t="array" ref="D206">VLOOKUP(C206:C206,$M$1:$N$20,2,FALSE)</f>
        <v>Suba</v>
      </c>
      <c r="E206" s="2">
        <v>0.16623126420791901</v>
      </c>
      <c r="F206" s="4">
        <v>19570.928701367899</v>
      </c>
      <c r="G206" s="4">
        <v>7888813</v>
      </c>
      <c r="H206" s="2">
        <v>2.4808458130986102</v>
      </c>
    </row>
    <row r="207" spans="1:8" x14ac:dyDescent="0.25">
      <c r="A207" t="str">
        <f t="shared" si="3"/>
        <v>Teusaquillo2024</v>
      </c>
      <c r="B207">
        <v>2024</v>
      </c>
      <c r="C207" t="s">
        <v>49</v>
      </c>
      <c r="D207" t="str" cm="1">
        <f t="array" ref="D207">VLOOKUP(C207:C207,$M$1:$N$20,2,FALSE)</f>
        <v>Teusaquillo</v>
      </c>
      <c r="E207" s="2">
        <v>9.8167859237632705E-3</v>
      </c>
      <c r="F207" s="4">
        <v>1155.76103151245</v>
      </c>
      <c r="G207" s="4">
        <v>7888813</v>
      </c>
      <c r="H207" s="2">
        <v>0.14650632883710801</v>
      </c>
    </row>
    <row r="208" spans="1:8" x14ac:dyDescent="0.25">
      <c r="A208" t="str">
        <f t="shared" si="3"/>
        <v>Tunjuelito2024</v>
      </c>
      <c r="B208">
        <v>2024</v>
      </c>
      <c r="C208" t="s">
        <v>50</v>
      </c>
      <c r="D208" t="str" cm="1">
        <f t="array" ref="D208">VLOOKUP(C208:C208,$M$1:$N$20,2,FALSE)</f>
        <v>Tunjuelito</v>
      </c>
      <c r="E208" s="2">
        <v>2.6661532008366299E-2</v>
      </c>
      <c r="F208" s="4">
        <v>3138.94588055547</v>
      </c>
      <c r="G208" s="4">
        <v>7888813</v>
      </c>
      <c r="H208" s="2">
        <v>0.39789837590971799</v>
      </c>
    </row>
    <row r="209" spans="1:8" x14ac:dyDescent="0.25">
      <c r="A209" t="str">
        <f t="shared" si="3"/>
        <v>Usaquén2024</v>
      </c>
      <c r="B209">
        <v>2024</v>
      </c>
      <c r="C209" t="s">
        <v>51</v>
      </c>
      <c r="D209" t="str" cm="1">
        <f t="array" ref="D209">VLOOKUP(C209:C209,$M$1:$N$20,2,FALSE)</f>
        <v>Usaquén</v>
      </c>
      <c r="E209" s="2">
        <v>8.6347049543513105E-2</v>
      </c>
      <c r="F209" s="4">
        <v>10165.9092724934</v>
      </c>
      <c r="G209" s="4">
        <v>7888813</v>
      </c>
      <c r="H209" s="2">
        <v>1.2886487830923801</v>
      </c>
    </row>
    <row r="210" spans="1:8" x14ac:dyDescent="0.25">
      <c r="A210" t="str">
        <f t="shared" si="3"/>
        <v>Usme2024</v>
      </c>
      <c r="B210">
        <v>2024</v>
      </c>
      <c r="C210" t="s">
        <v>52</v>
      </c>
      <c r="D210" t="str" cm="1">
        <f t="array" ref="D210">VLOOKUP(C210:C210,$M$1:$N$20,2,FALSE)</f>
        <v>Usme</v>
      </c>
      <c r="E210" s="2">
        <v>5.2756977512126997E-2</v>
      </c>
      <c r="F210" s="4">
        <v>6211.2446194121003</v>
      </c>
      <c r="G210" s="4">
        <v>7888813</v>
      </c>
      <c r="H210" s="2">
        <v>0.78734844131963799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0CE5-76AC-4DC1-912C-9DC609CDE6F0}">
  <dimension ref="A1:K210"/>
  <sheetViews>
    <sheetView workbookViewId="0">
      <selection activeCell="B1" sqref="B1:B1048576"/>
    </sheetView>
  </sheetViews>
  <sheetFormatPr defaultRowHeight="15" x14ac:dyDescent="0.25"/>
  <cols>
    <col min="1" max="1" width="4.42578125" customWidth="1"/>
    <col min="3" max="3" width="21.5703125" customWidth="1"/>
  </cols>
  <sheetData>
    <row r="1" spans="1:11" x14ac:dyDescent="0.25">
      <c r="A1" t="s">
        <v>63</v>
      </c>
      <c r="B1" t="s">
        <v>1</v>
      </c>
      <c r="C1" t="s">
        <v>24</v>
      </c>
      <c r="D1" t="s">
        <v>0</v>
      </c>
      <c r="E1" t="s">
        <v>62</v>
      </c>
      <c r="J1" t="s">
        <v>26</v>
      </c>
      <c r="K1" t="s">
        <v>53</v>
      </c>
    </row>
    <row r="2" spans="1:11" x14ac:dyDescent="0.25">
      <c r="A2" t="str">
        <f>D2&amp;B2</f>
        <v>Antonio Nariño2014</v>
      </c>
      <c r="B2">
        <v>2014</v>
      </c>
      <c r="C2" t="s">
        <v>34</v>
      </c>
      <c r="D2" t="str">
        <f>VLOOKUP(C2,$J$1:$K$20,2,FALSE)</f>
        <v>Antonio Nariño</v>
      </c>
      <c r="E2">
        <v>1.3621515739065599E-2</v>
      </c>
      <c r="J2" t="s">
        <v>34</v>
      </c>
      <c r="K2" t="s">
        <v>19</v>
      </c>
    </row>
    <row r="3" spans="1:11" x14ac:dyDescent="0.25">
      <c r="A3" t="str">
        <f t="shared" ref="A3:A66" si="0">D3&amp;B3</f>
        <v>Barrios Unidos2014</v>
      </c>
      <c r="B3">
        <v>2014</v>
      </c>
      <c r="C3" t="s">
        <v>35</v>
      </c>
      <c r="D3" t="str">
        <f t="shared" ref="D3:D66" si="1">VLOOKUP(C3,$J$1:$K$20,2,FALSE)</f>
        <v>Barrios Unidos</v>
      </c>
      <c r="E3">
        <v>7.4646705970998102E-3</v>
      </c>
      <c r="J3" t="s">
        <v>35</v>
      </c>
      <c r="K3" t="s">
        <v>15</v>
      </c>
    </row>
    <row r="4" spans="1:11" x14ac:dyDescent="0.25">
      <c r="A4" t="str">
        <f t="shared" si="0"/>
        <v>Bosa2014</v>
      </c>
      <c r="B4">
        <v>2014</v>
      </c>
      <c r="C4" t="s">
        <v>36</v>
      </c>
      <c r="D4" t="str">
        <f t="shared" si="1"/>
        <v>Bosa</v>
      </c>
      <c r="E4">
        <v>4.42116268206664E-2</v>
      </c>
      <c r="J4" t="s">
        <v>36</v>
      </c>
      <c r="K4" t="s">
        <v>9</v>
      </c>
    </row>
    <row r="5" spans="1:11" x14ac:dyDescent="0.25">
      <c r="A5" t="str">
        <f t="shared" si="0"/>
        <v>La Candelaria2014</v>
      </c>
      <c r="B5">
        <v>2014</v>
      </c>
      <c r="C5" t="s">
        <v>37</v>
      </c>
      <c r="D5" t="str">
        <f t="shared" si="1"/>
        <v>La Candelaria</v>
      </c>
      <c r="E5">
        <v>1.9083524784281099E-3</v>
      </c>
      <c r="J5" t="s">
        <v>37</v>
      </c>
      <c r="K5" t="s">
        <v>22</v>
      </c>
    </row>
    <row r="6" spans="1:11" x14ac:dyDescent="0.25">
      <c r="A6" t="str">
        <f t="shared" si="0"/>
        <v>Chapinero2014</v>
      </c>
      <c r="B6">
        <v>2014</v>
      </c>
      <c r="C6" t="s">
        <v>38</v>
      </c>
      <c r="D6" t="str">
        <f t="shared" si="1"/>
        <v>Chapinero</v>
      </c>
      <c r="E6">
        <v>4.3726925808876601E-3</v>
      </c>
      <c r="J6" t="s">
        <v>38</v>
      </c>
      <c r="K6" t="s">
        <v>18</v>
      </c>
    </row>
    <row r="7" spans="1:11" x14ac:dyDescent="0.25">
      <c r="A7" t="str">
        <f t="shared" si="0"/>
        <v>Ciudad Bolívar2014</v>
      </c>
      <c r="B7">
        <v>2014</v>
      </c>
      <c r="C7" t="s">
        <v>39</v>
      </c>
      <c r="D7" t="str">
        <f t="shared" si="1"/>
        <v>Ciudad Bolívar</v>
      </c>
      <c r="E7">
        <v>6.1635418519990902E-2</v>
      </c>
      <c r="J7" t="s">
        <v>39</v>
      </c>
      <c r="K7" t="s">
        <v>8</v>
      </c>
    </row>
    <row r="8" spans="1:11" x14ac:dyDescent="0.25">
      <c r="A8" t="str">
        <f t="shared" si="0"/>
        <v>Engativá2014</v>
      </c>
      <c r="B8">
        <v>2014</v>
      </c>
      <c r="C8" t="s">
        <v>40</v>
      </c>
      <c r="D8" t="str">
        <f t="shared" si="1"/>
        <v>Engativá</v>
      </c>
      <c r="E8">
        <v>1.63649239896334E-2</v>
      </c>
      <c r="J8" t="s">
        <v>40</v>
      </c>
      <c r="K8" t="s">
        <v>7</v>
      </c>
    </row>
    <row r="9" spans="1:11" x14ac:dyDescent="0.25">
      <c r="A9" t="str">
        <f t="shared" si="0"/>
        <v>Fontibón2014</v>
      </c>
      <c r="B9">
        <v>2014</v>
      </c>
      <c r="C9" t="s">
        <v>41</v>
      </c>
      <c r="D9" t="str">
        <f t="shared" si="1"/>
        <v>Fontibón</v>
      </c>
      <c r="E9">
        <v>1.63303463701765E-2</v>
      </c>
      <c r="J9" t="s">
        <v>41</v>
      </c>
      <c r="K9" t="s">
        <v>13</v>
      </c>
    </row>
    <row r="10" spans="1:11" x14ac:dyDescent="0.25">
      <c r="A10" t="str">
        <f t="shared" si="0"/>
        <v>Kennedy2014</v>
      </c>
      <c r="B10">
        <v>2014</v>
      </c>
      <c r="C10" t="s">
        <v>42</v>
      </c>
      <c r="D10" t="str">
        <f t="shared" si="1"/>
        <v>Kennedy</v>
      </c>
      <c r="E10">
        <v>2.6770479860882501E-2</v>
      </c>
      <c r="J10" t="s">
        <v>42</v>
      </c>
      <c r="K10" t="s">
        <v>5</v>
      </c>
    </row>
    <row r="11" spans="1:11" x14ac:dyDescent="0.25">
      <c r="A11" t="str">
        <f t="shared" si="0"/>
        <v>Los Mártires2014</v>
      </c>
      <c r="B11">
        <v>2014</v>
      </c>
      <c r="C11" t="s">
        <v>43</v>
      </c>
      <c r="D11" t="str">
        <f t="shared" si="1"/>
        <v>Los Mártires</v>
      </c>
      <c r="E11">
        <v>2.1684537853070899E-2</v>
      </c>
      <c r="J11" t="s">
        <v>43</v>
      </c>
      <c r="K11" t="s">
        <v>21</v>
      </c>
    </row>
    <row r="12" spans="1:11" x14ac:dyDescent="0.25">
      <c r="A12" t="str">
        <f t="shared" si="0"/>
        <v>Puente Aranda2014</v>
      </c>
      <c r="B12">
        <v>2014</v>
      </c>
      <c r="C12" t="s">
        <v>44</v>
      </c>
      <c r="D12" t="str">
        <f t="shared" si="1"/>
        <v>Puente Aranda</v>
      </c>
      <c r="E12">
        <v>1.32470699622898E-2</v>
      </c>
      <c r="J12" t="s">
        <v>44</v>
      </c>
      <c r="K12" t="s">
        <v>14</v>
      </c>
    </row>
    <row r="13" spans="1:11" x14ac:dyDescent="0.25">
      <c r="A13" t="str">
        <f t="shared" si="0"/>
        <v>Rafael Uribe2014</v>
      </c>
      <c r="B13">
        <v>2014</v>
      </c>
      <c r="C13" t="s">
        <v>45</v>
      </c>
      <c r="D13" t="str">
        <f t="shared" si="1"/>
        <v>Rafael Uribe</v>
      </c>
      <c r="E13">
        <v>4.0873367142652203E-2</v>
      </c>
      <c r="J13" t="s">
        <v>45</v>
      </c>
      <c r="K13" t="s">
        <v>29</v>
      </c>
    </row>
    <row r="14" spans="1:11" x14ac:dyDescent="0.25">
      <c r="A14" t="str">
        <f t="shared" si="0"/>
        <v>San Cristóbal2014</v>
      </c>
      <c r="B14">
        <v>2014</v>
      </c>
      <c r="C14" t="s">
        <v>46</v>
      </c>
      <c r="D14" t="str">
        <f t="shared" si="1"/>
        <v>San Cristóbal</v>
      </c>
      <c r="E14">
        <v>4.5944330859683302E-2</v>
      </c>
      <c r="J14" t="s">
        <v>46</v>
      </c>
      <c r="K14" t="s">
        <v>11</v>
      </c>
    </row>
    <row r="15" spans="1:11" x14ac:dyDescent="0.25">
      <c r="A15" t="str">
        <f t="shared" si="0"/>
        <v>Santa Fe2014</v>
      </c>
      <c r="B15">
        <v>2014</v>
      </c>
      <c r="C15" t="s">
        <v>47</v>
      </c>
      <c r="D15" t="str">
        <f t="shared" si="1"/>
        <v>Santa Fe</v>
      </c>
      <c r="E15">
        <v>4.7367335935349697E-2</v>
      </c>
      <c r="J15" t="s">
        <v>47</v>
      </c>
      <c r="K15" t="s">
        <v>20</v>
      </c>
    </row>
    <row r="16" spans="1:11" x14ac:dyDescent="0.25">
      <c r="A16" t="str">
        <f t="shared" si="0"/>
        <v>Suba2014</v>
      </c>
      <c r="B16">
        <v>2014</v>
      </c>
      <c r="C16" t="s">
        <v>48</v>
      </c>
      <c r="D16" t="str">
        <f t="shared" si="1"/>
        <v>Suba</v>
      </c>
      <c r="E16">
        <v>2.0751456145237501E-2</v>
      </c>
      <c r="J16" t="s">
        <v>48</v>
      </c>
      <c r="K16" t="s">
        <v>6</v>
      </c>
    </row>
    <row r="17" spans="1:11" x14ac:dyDescent="0.25">
      <c r="A17" t="str">
        <f t="shared" si="0"/>
        <v>Teusaquillo2014</v>
      </c>
      <c r="B17">
        <v>2014</v>
      </c>
      <c r="C17" t="s">
        <v>49</v>
      </c>
      <c r="D17" t="str">
        <f t="shared" si="1"/>
        <v>Teusaquillo</v>
      </c>
      <c r="E17">
        <v>3.1444628534261999E-4</v>
      </c>
      <c r="J17" t="s">
        <v>49</v>
      </c>
      <c r="K17" t="s">
        <v>17</v>
      </c>
    </row>
    <row r="18" spans="1:11" x14ac:dyDescent="0.25">
      <c r="A18" t="str">
        <f t="shared" si="0"/>
        <v>Tunjuelito2014</v>
      </c>
      <c r="B18">
        <v>2014</v>
      </c>
      <c r="C18" t="s">
        <v>50</v>
      </c>
      <c r="D18" t="str">
        <f t="shared" si="1"/>
        <v>Tunjuelito</v>
      </c>
      <c r="E18">
        <v>3.9350481789921898E-2</v>
      </c>
      <c r="J18" t="s">
        <v>50</v>
      </c>
      <c r="K18" t="s">
        <v>16</v>
      </c>
    </row>
    <row r="19" spans="1:11" x14ac:dyDescent="0.25">
      <c r="A19" t="str">
        <f t="shared" si="0"/>
        <v>Usaquén2014</v>
      </c>
      <c r="B19">
        <v>2014</v>
      </c>
      <c r="C19" t="s">
        <v>51</v>
      </c>
      <c r="D19" t="str">
        <f t="shared" si="1"/>
        <v>Usaquén</v>
      </c>
      <c r="E19">
        <v>9.9860393144495501E-3</v>
      </c>
      <c r="J19" t="s">
        <v>51</v>
      </c>
      <c r="K19" t="s">
        <v>10</v>
      </c>
    </row>
    <row r="20" spans="1:11" x14ac:dyDescent="0.25">
      <c r="A20" t="str">
        <f t="shared" si="0"/>
        <v>Usme2014</v>
      </c>
      <c r="B20">
        <v>2014</v>
      </c>
      <c r="C20" t="s">
        <v>52</v>
      </c>
      <c r="D20" t="str">
        <f t="shared" si="1"/>
        <v>Usme</v>
      </c>
      <c r="E20">
        <v>6.0490156441337699E-2</v>
      </c>
      <c r="J20" t="s">
        <v>52</v>
      </c>
      <c r="K20" t="s">
        <v>12</v>
      </c>
    </row>
    <row r="21" spans="1:11" x14ac:dyDescent="0.25">
      <c r="A21" t="str">
        <f t="shared" si="0"/>
        <v>Antonio Nariño2015</v>
      </c>
      <c r="B21">
        <v>2015</v>
      </c>
      <c r="C21" t="s">
        <v>34</v>
      </c>
      <c r="D21" t="str">
        <f t="shared" si="1"/>
        <v>Antonio Nariño</v>
      </c>
      <c r="E21">
        <v>1.32612893526814E-2</v>
      </c>
    </row>
    <row r="22" spans="1:11" x14ac:dyDescent="0.25">
      <c r="A22" t="str">
        <f t="shared" si="0"/>
        <v>Barrios Unidos2015</v>
      </c>
      <c r="B22">
        <v>2015</v>
      </c>
      <c r="C22" t="s">
        <v>35</v>
      </c>
      <c r="D22" t="str">
        <f t="shared" si="1"/>
        <v>Barrios Unidos</v>
      </c>
      <c r="E22">
        <v>7.26726442246754E-3</v>
      </c>
    </row>
    <row r="23" spans="1:11" x14ac:dyDescent="0.25">
      <c r="A23" t="str">
        <f t="shared" si="0"/>
        <v>Bosa2015</v>
      </c>
      <c r="B23">
        <v>2015</v>
      </c>
      <c r="C23" t="s">
        <v>36</v>
      </c>
      <c r="D23" t="str">
        <f t="shared" si="1"/>
        <v>Bosa</v>
      </c>
      <c r="E23">
        <v>4.3042432813856703E-2</v>
      </c>
    </row>
    <row r="24" spans="1:11" x14ac:dyDescent="0.25">
      <c r="A24" t="str">
        <f t="shared" si="0"/>
        <v>La Candelaria2015</v>
      </c>
      <c r="B24">
        <v>2015</v>
      </c>
      <c r="C24" t="s">
        <v>37</v>
      </c>
      <c r="D24" t="str">
        <f t="shared" si="1"/>
        <v>La Candelaria</v>
      </c>
      <c r="E24">
        <v>1.8578853402314399E-3</v>
      </c>
    </row>
    <row r="25" spans="1:11" x14ac:dyDescent="0.25">
      <c r="A25" t="str">
        <f t="shared" si="0"/>
        <v>Chapinero2015</v>
      </c>
      <c r="B25">
        <v>2015</v>
      </c>
      <c r="C25" t="s">
        <v>38</v>
      </c>
      <c r="D25" t="str">
        <f t="shared" si="1"/>
        <v>Chapinero</v>
      </c>
      <c r="E25">
        <v>4.2570549912569304E-3</v>
      </c>
    </row>
    <row r="26" spans="1:11" x14ac:dyDescent="0.25">
      <c r="A26" t="str">
        <f t="shared" si="0"/>
        <v>Ciudad Bolívar2015</v>
      </c>
      <c r="B26">
        <v>2015</v>
      </c>
      <c r="C26" t="s">
        <v>39</v>
      </c>
      <c r="D26" t="str">
        <f t="shared" si="1"/>
        <v>Ciudad Bolívar</v>
      </c>
      <c r="E26">
        <v>6.0005445430941599E-2</v>
      </c>
    </row>
    <row r="27" spans="1:11" x14ac:dyDescent="0.25">
      <c r="A27" t="str">
        <f t="shared" si="0"/>
        <v>Engativá2015</v>
      </c>
      <c r="B27">
        <v>2015</v>
      </c>
      <c r="C27" t="s">
        <v>40</v>
      </c>
      <c r="D27" t="str">
        <f t="shared" si="1"/>
        <v>Engativá</v>
      </c>
      <c r="E27">
        <v>1.5932147083952301E-2</v>
      </c>
    </row>
    <row r="28" spans="1:11" x14ac:dyDescent="0.25">
      <c r="A28" t="str">
        <f t="shared" si="0"/>
        <v>Fontibón2015</v>
      </c>
      <c r="B28">
        <v>2015</v>
      </c>
      <c r="C28" t="s">
        <v>41</v>
      </c>
      <c r="D28" t="str">
        <f t="shared" si="1"/>
        <v>Fontibón</v>
      </c>
      <c r="E28">
        <v>1.58984838833564E-2</v>
      </c>
    </row>
    <row r="29" spans="1:11" x14ac:dyDescent="0.25">
      <c r="A29" t="str">
        <f t="shared" si="0"/>
        <v>Kennedy2015</v>
      </c>
      <c r="B29">
        <v>2015</v>
      </c>
      <c r="C29" t="s">
        <v>42</v>
      </c>
      <c r="D29" t="str">
        <f t="shared" si="1"/>
        <v>Kennedy</v>
      </c>
      <c r="E29">
        <v>2.6062523903058899E-2</v>
      </c>
    </row>
    <row r="30" spans="1:11" x14ac:dyDescent="0.25">
      <c r="A30" t="str">
        <f t="shared" si="0"/>
        <v>Los Mártires2015</v>
      </c>
      <c r="B30">
        <v>2015</v>
      </c>
      <c r="C30" t="s">
        <v>43</v>
      </c>
      <c r="D30" t="str">
        <f t="shared" si="1"/>
        <v>Los Mártires</v>
      </c>
      <c r="E30">
        <v>2.11110816488673E-2</v>
      </c>
    </row>
    <row r="31" spans="1:11" x14ac:dyDescent="0.25">
      <c r="A31" t="str">
        <f t="shared" si="0"/>
        <v>Puente Aranda2015</v>
      </c>
      <c r="B31">
        <v>2015</v>
      </c>
      <c r="C31" t="s">
        <v>44</v>
      </c>
      <c r="D31" t="str">
        <f t="shared" si="1"/>
        <v>Puente Aranda</v>
      </c>
      <c r="E31">
        <v>1.28967459429878E-2</v>
      </c>
    </row>
    <row r="32" spans="1:11" x14ac:dyDescent="0.25">
      <c r="A32" t="str">
        <f t="shared" si="0"/>
        <v>Rafael Uribe2015</v>
      </c>
      <c r="B32">
        <v>2015</v>
      </c>
      <c r="C32" t="s">
        <v>45</v>
      </c>
      <c r="D32" t="str">
        <f t="shared" si="1"/>
        <v>Rafael Uribe</v>
      </c>
      <c r="E32">
        <v>3.9792454737072498E-2</v>
      </c>
    </row>
    <row r="33" spans="1:5" x14ac:dyDescent="0.25">
      <c r="A33" t="str">
        <f t="shared" si="0"/>
        <v>San Cristóbal2015</v>
      </c>
      <c r="B33">
        <v>2015</v>
      </c>
      <c r="C33" t="s">
        <v>46</v>
      </c>
      <c r="D33" t="str">
        <f t="shared" si="1"/>
        <v>San Cristóbal</v>
      </c>
      <c r="E33">
        <v>4.47293148073242E-2</v>
      </c>
    </row>
    <row r="34" spans="1:5" x14ac:dyDescent="0.25">
      <c r="A34" t="str">
        <f t="shared" si="0"/>
        <v>Santa Fe2015</v>
      </c>
      <c r="B34">
        <v>2015</v>
      </c>
      <c r="C34" t="s">
        <v>47</v>
      </c>
      <c r="D34" t="str">
        <f t="shared" si="1"/>
        <v>Santa Fe</v>
      </c>
      <c r="E34">
        <v>4.6114687949362E-2</v>
      </c>
    </row>
    <row r="35" spans="1:5" x14ac:dyDescent="0.25">
      <c r="A35" t="str">
        <f t="shared" si="0"/>
        <v>Suba2015</v>
      </c>
      <c r="B35">
        <v>2015</v>
      </c>
      <c r="C35" t="s">
        <v>48</v>
      </c>
      <c r="D35" t="str">
        <f t="shared" si="1"/>
        <v>Suba</v>
      </c>
      <c r="E35">
        <v>2.02026756568832E-2</v>
      </c>
    </row>
    <row r="36" spans="1:5" x14ac:dyDescent="0.25">
      <c r="A36" t="str">
        <f t="shared" si="0"/>
        <v>Teusaquillo2015</v>
      </c>
      <c r="B36">
        <v>2015</v>
      </c>
      <c r="C36" t="s">
        <v>49</v>
      </c>
      <c r="D36" t="str">
        <f t="shared" si="1"/>
        <v>Teusaquillo</v>
      </c>
      <c r="E36">
        <v>3.0613062860876102E-4</v>
      </c>
    </row>
    <row r="37" spans="1:5" x14ac:dyDescent="0.25">
      <c r="A37" t="str">
        <f t="shared" si="0"/>
        <v>Tunjuelito2015</v>
      </c>
      <c r="B37">
        <v>2015</v>
      </c>
      <c r="C37" t="s">
        <v>50</v>
      </c>
      <c r="D37" t="str">
        <f t="shared" si="1"/>
        <v>Tunjuelito</v>
      </c>
      <c r="E37">
        <v>3.8309842691513003E-2</v>
      </c>
    </row>
    <row r="38" spans="1:5" x14ac:dyDescent="0.25">
      <c r="A38" t="str">
        <f t="shared" si="0"/>
        <v>Usaquén2015</v>
      </c>
      <c r="B38">
        <v>2015</v>
      </c>
      <c r="C38" t="s">
        <v>51</v>
      </c>
      <c r="D38" t="str">
        <f t="shared" si="1"/>
        <v>Usaquén</v>
      </c>
      <c r="E38">
        <v>9.7219545440433604E-3</v>
      </c>
    </row>
    <row r="39" spans="1:5" x14ac:dyDescent="0.25">
      <c r="A39" t="str">
        <f t="shared" si="0"/>
        <v>Usme2015</v>
      </c>
      <c r="B39">
        <v>2015</v>
      </c>
      <c r="C39" t="s">
        <v>52</v>
      </c>
      <c r="D39" t="str">
        <f t="shared" si="1"/>
        <v>Usme</v>
      </c>
      <c r="E39">
        <v>5.8890470262200498E-2</v>
      </c>
    </row>
    <row r="40" spans="1:5" x14ac:dyDescent="0.25">
      <c r="A40" t="str">
        <f t="shared" si="0"/>
        <v>Antonio Nariño2016</v>
      </c>
      <c r="B40">
        <v>2016</v>
      </c>
      <c r="C40" t="s">
        <v>34</v>
      </c>
      <c r="D40" t="str">
        <f t="shared" si="1"/>
        <v>Antonio Nariño</v>
      </c>
      <c r="E40">
        <v>1.28900779780065E-2</v>
      </c>
    </row>
    <row r="41" spans="1:5" x14ac:dyDescent="0.25">
      <c r="A41" t="str">
        <f t="shared" si="0"/>
        <v>Barrios Unidos2016</v>
      </c>
      <c r="B41">
        <v>2016</v>
      </c>
      <c r="C41" t="s">
        <v>35</v>
      </c>
      <c r="D41" t="str">
        <f t="shared" si="1"/>
        <v>Barrios Unidos</v>
      </c>
      <c r="E41">
        <v>7.0638384097590403E-3</v>
      </c>
    </row>
    <row r="42" spans="1:5" x14ac:dyDescent="0.25">
      <c r="A42" t="str">
        <f t="shared" si="0"/>
        <v>Bosa2016</v>
      </c>
      <c r="B42">
        <v>2016</v>
      </c>
      <c r="C42" t="s">
        <v>36</v>
      </c>
      <c r="D42" t="str">
        <f t="shared" si="1"/>
        <v>Bosa</v>
      </c>
      <c r="E42">
        <v>4.1837584610242902E-2</v>
      </c>
    </row>
    <row r="43" spans="1:5" x14ac:dyDescent="0.25">
      <c r="A43" t="str">
        <f t="shared" si="0"/>
        <v>La Candelaria2016</v>
      </c>
      <c r="B43">
        <v>2016</v>
      </c>
      <c r="C43" t="s">
        <v>37</v>
      </c>
      <c r="D43" t="str">
        <f t="shared" si="1"/>
        <v>La Candelaria</v>
      </c>
      <c r="E43">
        <v>1.8058792228175199E-3</v>
      </c>
    </row>
    <row r="44" spans="1:5" x14ac:dyDescent="0.25">
      <c r="A44" t="str">
        <f t="shared" si="0"/>
        <v>Chapinero2016</v>
      </c>
      <c r="B44">
        <v>2016</v>
      </c>
      <c r="C44" t="s">
        <v>38</v>
      </c>
      <c r="D44" t="str">
        <f t="shared" si="1"/>
        <v>Chapinero</v>
      </c>
      <c r="E44">
        <v>4.1378910703632702E-3</v>
      </c>
    </row>
    <row r="45" spans="1:5" x14ac:dyDescent="0.25">
      <c r="A45" t="str">
        <f t="shared" si="0"/>
        <v>Ciudad Bolívar2016</v>
      </c>
      <c r="B45">
        <v>2016</v>
      </c>
      <c r="C45" t="s">
        <v>39</v>
      </c>
      <c r="D45" t="str">
        <f t="shared" si="1"/>
        <v>Ciudad Bolívar</v>
      </c>
      <c r="E45">
        <v>5.8325766834539397E-2</v>
      </c>
    </row>
    <row r="46" spans="1:5" x14ac:dyDescent="0.25">
      <c r="A46" t="str">
        <f t="shared" si="0"/>
        <v>Engativá2016</v>
      </c>
      <c r="B46">
        <v>2016</v>
      </c>
      <c r="C46" t="s">
        <v>40</v>
      </c>
      <c r="D46" t="str">
        <f t="shared" si="1"/>
        <v>Engativá</v>
      </c>
      <c r="E46">
        <v>1.5486172785128999E-2</v>
      </c>
    </row>
    <row r="47" spans="1:5" x14ac:dyDescent="0.25">
      <c r="A47" t="str">
        <f t="shared" si="0"/>
        <v>Fontibón2016</v>
      </c>
      <c r="B47">
        <v>2016</v>
      </c>
      <c r="C47" t="s">
        <v>41</v>
      </c>
      <c r="D47" t="str">
        <f t="shared" si="1"/>
        <v>Fontibón</v>
      </c>
      <c r="E47">
        <v>1.54534518883043E-2</v>
      </c>
    </row>
    <row r="48" spans="1:5" x14ac:dyDescent="0.25">
      <c r="A48" t="str">
        <f t="shared" si="0"/>
        <v>Kennedy2016</v>
      </c>
      <c r="B48">
        <v>2016</v>
      </c>
      <c r="C48" t="s">
        <v>42</v>
      </c>
      <c r="D48" t="str">
        <f t="shared" si="1"/>
        <v>Kennedy</v>
      </c>
      <c r="E48">
        <v>2.5332979055023901E-2</v>
      </c>
    </row>
    <row r="49" spans="1:5" x14ac:dyDescent="0.25">
      <c r="A49" t="str">
        <f t="shared" si="0"/>
        <v>Los Mártires2016</v>
      </c>
      <c r="B49">
        <v>2016</v>
      </c>
      <c r="C49" t="s">
        <v>43</v>
      </c>
      <c r="D49" t="str">
        <f t="shared" si="1"/>
        <v>Los Mártires</v>
      </c>
      <c r="E49">
        <v>2.0520138081365401E-2</v>
      </c>
    </row>
    <row r="50" spans="1:5" x14ac:dyDescent="0.25">
      <c r="A50" t="str">
        <f t="shared" si="0"/>
        <v>Puente Aranda2016</v>
      </c>
      <c r="B50">
        <v>2016</v>
      </c>
      <c r="C50" t="s">
        <v>44</v>
      </c>
      <c r="D50" t="str">
        <f t="shared" si="1"/>
        <v>Puente Aranda</v>
      </c>
      <c r="E50">
        <v>1.25357389049082E-2</v>
      </c>
    </row>
    <row r="51" spans="1:5" x14ac:dyDescent="0.25">
      <c r="A51" t="str">
        <f t="shared" si="0"/>
        <v>Rafael Uribe2016</v>
      </c>
      <c r="B51">
        <v>2016</v>
      </c>
      <c r="C51" t="s">
        <v>45</v>
      </c>
      <c r="D51" t="str">
        <f t="shared" si="1"/>
        <v>Rafael Uribe</v>
      </c>
      <c r="E51">
        <v>3.8678580253845997E-2</v>
      </c>
    </row>
    <row r="52" spans="1:5" x14ac:dyDescent="0.25">
      <c r="A52" t="str">
        <f t="shared" si="0"/>
        <v>San Cristóbal2016</v>
      </c>
      <c r="B52">
        <v>2016</v>
      </c>
      <c r="C52" t="s">
        <v>46</v>
      </c>
      <c r="D52" t="str">
        <f t="shared" si="1"/>
        <v>San Cristóbal</v>
      </c>
      <c r="E52">
        <v>4.3477247229556301E-2</v>
      </c>
    </row>
    <row r="53" spans="1:5" x14ac:dyDescent="0.25">
      <c r="A53" t="str">
        <f t="shared" si="0"/>
        <v>Santa Fe2016</v>
      </c>
      <c r="B53">
        <v>2016</v>
      </c>
      <c r="C53" t="s">
        <v>47</v>
      </c>
      <c r="D53" t="str">
        <f t="shared" si="1"/>
        <v>Santa Fe</v>
      </c>
      <c r="E53">
        <v>4.4823840864201103E-2</v>
      </c>
    </row>
    <row r="54" spans="1:5" x14ac:dyDescent="0.25">
      <c r="A54" t="str">
        <f t="shared" si="0"/>
        <v>Suba2016</v>
      </c>
      <c r="B54">
        <v>2016</v>
      </c>
      <c r="C54" t="s">
        <v>48</v>
      </c>
      <c r="D54" t="str">
        <f t="shared" si="1"/>
        <v>Suba</v>
      </c>
      <c r="E54">
        <v>1.9637160283282998E-2</v>
      </c>
    </row>
    <row r="55" spans="1:5" x14ac:dyDescent="0.25">
      <c r="A55" t="str">
        <f t="shared" si="0"/>
        <v>Teusaquillo2016</v>
      </c>
      <c r="B55">
        <v>2016</v>
      </c>
      <c r="C55" t="s">
        <v>49</v>
      </c>
      <c r="D55" t="str">
        <f t="shared" si="1"/>
        <v>Teusaquillo</v>
      </c>
      <c r="E55">
        <v>2.9756138858588602E-4</v>
      </c>
    </row>
    <row r="56" spans="1:5" x14ac:dyDescent="0.25">
      <c r="A56" t="str">
        <f t="shared" si="0"/>
        <v>Tunjuelito2016</v>
      </c>
      <c r="B56">
        <v>2016</v>
      </c>
      <c r="C56" t="s">
        <v>50</v>
      </c>
      <c r="D56" t="str">
        <f t="shared" si="1"/>
        <v>Tunjuelito</v>
      </c>
      <c r="E56">
        <v>3.7237469637062003E-2</v>
      </c>
    </row>
    <row r="57" spans="1:5" x14ac:dyDescent="0.25">
      <c r="A57" t="str">
        <f t="shared" si="0"/>
        <v>Usaquén2016</v>
      </c>
      <c r="B57">
        <v>2016</v>
      </c>
      <c r="C57" t="s">
        <v>51</v>
      </c>
      <c r="D57" t="str">
        <f t="shared" si="1"/>
        <v>Usaquén</v>
      </c>
      <c r="E57">
        <v>9.4498165931365691E-3</v>
      </c>
    </row>
    <row r="58" spans="1:5" x14ac:dyDescent="0.25">
      <c r="A58" t="str">
        <f t="shared" si="0"/>
        <v>Usme2016</v>
      </c>
      <c r="B58">
        <v>2016</v>
      </c>
      <c r="C58" t="s">
        <v>52</v>
      </c>
      <c r="D58" t="str">
        <f t="shared" si="1"/>
        <v>Usme</v>
      </c>
      <c r="E58">
        <v>5.7242002165328897E-2</v>
      </c>
    </row>
    <row r="59" spans="1:5" x14ac:dyDescent="0.25">
      <c r="A59" t="str">
        <f t="shared" si="0"/>
        <v>Antonio Nariño2017</v>
      </c>
      <c r="B59">
        <v>2017</v>
      </c>
      <c r="C59" t="s">
        <v>34</v>
      </c>
      <c r="D59" t="str">
        <f t="shared" si="1"/>
        <v>Antonio Nariño</v>
      </c>
      <c r="E59">
        <v>1.2506473780901899E-2</v>
      </c>
    </row>
    <row r="60" spans="1:5" x14ac:dyDescent="0.25">
      <c r="A60" t="str">
        <f t="shared" si="0"/>
        <v>Barrios Unidos2017</v>
      </c>
      <c r="B60">
        <v>2017</v>
      </c>
      <c r="C60" t="s">
        <v>35</v>
      </c>
      <c r="D60" t="str">
        <f t="shared" si="1"/>
        <v>Barrios Unidos</v>
      </c>
      <c r="E60">
        <v>6.8536210576005899E-3</v>
      </c>
    </row>
    <row r="61" spans="1:5" x14ac:dyDescent="0.25">
      <c r="A61" t="str">
        <f t="shared" si="0"/>
        <v>Bosa2017</v>
      </c>
      <c r="B61">
        <v>2017</v>
      </c>
      <c r="C61" t="s">
        <v>36</v>
      </c>
      <c r="D61" t="str">
        <f t="shared" si="1"/>
        <v>Bosa</v>
      </c>
      <c r="E61">
        <v>4.05925127743244E-2</v>
      </c>
    </row>
    <row r="62" spans="1:5" x14ac:dyDescent="0.25">
      <c r="A62" t="str">
        <f t="shared" si="0"/>
        <v>La Candelaria2017</v>
      </c>
      <c r="B62">
        <v>2017</v>
      </c>
      <c r="C62" t="s">
        <v>37</v>
      </c>
      <c r="D62" t="str">
        <f t="shared" si="1"/>
        <v>La Candelaria</v>
      </c>
      <c r="E62">
        <v>1.75213689088447E-3</v>
      </c>
    </row>
    <row r="63" spans="1:5" x14ac:dyDescent="0.25">
      <c r="A63" t="str">
        <f t="shared" si="0"/>
        <v>Chapinero2017</v>
      </c>
      <c r="B63">
        <v>2017</v>
      </c>
      <c r="C63" t="s">
        <v>38</v>
      </c>
      <c r="D63" t="str">
        <f t="shared" si="1"/>
        <v>Chapinero</v>
      </c>
      <c r="E63">
        <v>4.0147488842212304E-3</v>
      </c>
    </row>
    <row r="64" spans="1:5" x14ac:dyDescent="0.25">
      <c r="A64" t="str">
        <f t="shared" si="0"/>
        <v>Ciudad Bolívar2017</v>
      </c>
      <c r="B64">
        <v>2017</v>
      </c>
      <c r="C64" t="s">
        <v>39</v>
      </c>
      <c r="D64" t="str">
        <f t="shared" si="1"/>
        <v>Ciudad Bolívar</v>
      </c>
      <c r="E64">
        <v>5.6590012481831001E-2</v>
      </c>
    </row>
    <row r="65" spans="1:5" x14ac:dyDescent="0.25">
      <c r="A65" t="str">
        <f t="shared" si="0"/>
        <v>Engativá2017</v>
      </c>
      <c r="B65">
        <v>2017</v>
      </c>
      <c r="C65" t="s">
        <v>40</v>
      </c>
      <c r="D65" t="str">
        <f t="shared" si="1"/>
        <v>Engativá</v>
      </c>
      <c r="E65">
        <v>1.50253097176131E-2</v>
      </c>
    </row>
    <row r="66" spans="1:5" x14ac:dyDescent="0.25">
      <c r="A66" t="str">
        <f t="shared" si="0"/>
        <v>Fontibón2017</v>
      </c>
      <c r="B66">
        <v>2017</v>
      </c>
      <c r="C66" t="s">
        <v>41</v>
      </c>
      <c r="D66" t="str">
        <f t="shared" si="1"/>
        <v>Fontibón</v>
      </c>
      <c r="E66">
        <v>1.4993562583195201E-2</v>
      </c>
    </row>
    <row r="67" spans="1:5" x14ac:dyDescent="0.25">
      <c r="A67" t="str">
        <f t="shared" ref="A67:A130" si="2">D67&amp;B67</f>
        <v>Kennedy2017</v>
      </c>
      <c r="B67">
        <v>2017</v>
      </c>
      <c r="C67" t="s">
        <v>42</v>
      </c>
      <c r="D67" t="str">
        <f t="shared" ref="D67:D130" si="3">VLOOKUP(C67,$J$1:$K$20,2,FALSE)</f>
        <v>Kennedy</v>
      </c>
      <c r="E67">
        <v>2.4579078488460099E-2</v>
      </c>
    </row>
    <row r="68" spans="1:5" x14ac:dyDescent="0.25">
      <c r="A68" t="str">
        <f t="shared" si="2"/>
        <v>Los Mártires2017</v>
      </c>
      <c r="B68">
        <v>2017</v>
      </c>
      <c r="C68" t="s">
        <v>43</v>
      </c>
      <c r="D68" t="str">
        <f t="shared" si="3"/>
        <v>Los Mártires</v>
      </c>
      <c r="E68">
        <v>1.9909465973205202E-2</v>
      </c>
    </row>
    <row r="69" spans="1:5" x14ac:dyDescent="0.25">
      <c r="A69" t="str">
        <f t="shared" si="2"/>
        <v>Puente Aranda2017</v>
      </c>
      <c r="B69">
        <v>2017</v>
      </c>
      <c r="C69" t="s">
        <v>44</v>
      </c>
      <c r="D69" t="str">
        <f t="shared" si="3"/>
        <v>Puente Aranda</v>
      </c>
      <c r="E69">
        <v>1.21626797142706E-2</v>
      </c>
    </row>
    <row r="70" spans="1:5" x14ac:dyDescent="0.25">
      <c r="A70" t="str">
        <f t="shared" si="2"/>
        <v>Rafael Uribe2017</v>
      </c>
      <c r="B70">
        <v>2017</v>
      </c>
      <c r="C70" t="s">
        <v>45</v>
      </c>
      <c r="D70" t="str">
        <f t="shared" si="3"/>
        <v>Rafael Uribe</v>
      </c>
      <c r="E70">
        <v>3.7527519278982999E-2</v>
      </c>
    </row>
    <row r="71" spans="1:5" x14ac:dyDescent="0.25">
      <c r="A71" t="str">
        <f t="shared" si="2"/>
        <v>San Cristóbal2017</v>
      </c>
      <c r="B71">
        <v>2017</v>
      </c>
      <c r="C71" t="s">
        <v>46</v>
      </c>
      <c r="D71" t="str">
        <f t="shared" si="3"/>
        <v>San Cristóbal</v>
      </c>
      <c r="E71">
        <v>4.2183379609494601E-2</v>
      </c>
    </row>
    <row r="72" spans="1:5" x14ac:dyDescent="0.25">
      <c r="A72" t="str">
        <f t="shared" si="2"/>
        <v>Santa Fe2017</v>
      </c>
      <c r="B72">
        <v>2017</v>
      </c>
      <c r="C72" t="s">
        <v>47</v>
      </c>
      <c r="D72" t="str">
        <f t="shared" si="3"/>
        <v>Santa Fe</v>
      </c>
      <c r="E72">
        <v>4.3489899090133101E-2</v>
      </c>
    </row>
    <row r="73" spans="1:5" x14ac:dyDescent="0.25">
      <c r="A73" t="str">
        <f t="shared" si="2"/>
        <v>Suba2017</v>
      </c>
      <c r="B73">
        <v>2017</v>
      </c>
      <c r="C73" t="s">
        <v>48</v>
      </c>
      <c r="D73" t="str">
        <f t="shared" si="3"/>
        <v>Suba</v>
      </c>
      <c r="E73">
        <v>1.905276528453E-2</v>
      </c>
    </row>
    <row r="74" spans="1:5" x14ac:dyDescent="0.25">
      <c r="A74" t="str">
        <f t="shared" si="2"/>
        <v>Teusaquillo2017</v>
      </c>
      <c r="B74">
        <v>2017</v>
      </c>
      <c r="C74" t="s">
        <v>49</v>
      </c>
      <c r="D74" t="str">
        <f t="shared" si="3"/>
        <v>Teusaquillo</v>
      </c>
      <c r="E74">
        <v>2.8870606608492102E-4</v>
      </c>
    </row>
    <row r="75" spans="1:5" x14ac:dyDescent="0.25">
      <c r="A75" t="str">
        <f t="shared" si="2"/>
        <v>Tunjuelito2017</v>
      </c>
      <c r="B75">
        <v>2017</v>
      </c>
      <c r="C75" t="s">
        <v>50</v>
      </c>
      <c r="D75" t="str">
        <f t="shared" si="3"/>
        <v>Tunjuelito</v>
      </c>
      <c r="E75">
        <v>3.6129295608424997E-2</v>
      </c>
    </row>
    <row r="76" spans="1:5" x14ac:dyDescent="0.25">
      <c r="A76" t="str">
        <f t="shared" si="2"/>
        <v>Usaquén2017</v>
      </c>
      <c r="B76">
        <v>2017</v>
      </c>
      <c r="C76" t="s">
        <v>51</v>
      </c>
      <c r="D76" t="str">
        <f t="shared" si="3"/>
        <v>Usaquén</v>
      </c>
      <c r="E76">
        <v>9.1685933675532093E-3</v>
      </c>
    </row>
    <row r="77" spans="1:5" x14ac:dyDescent="0.25">
      <c r="A77" t="str">
        <f t="shared" si="2"/>
        <v>Usme2017</v>
      </c>
      <c r="B77">
        <v>2017</v>
      </c>
      <c r="C77" t="s">
        <v>52</v>
      </c>
      <c r="D77" t="str">
        <f t="shared" si="3"/>
        <v>Usme</v>
      </c>
      <c r="E77">
        <v>5.5538500268850197E-2</v>
      </c>
    </row>
    <row r="78" spans="1:5" x14ac:dyDescent="0.25">
      <c r="A78" t="str">
        <f t="shared" si="2"/>
        <v>Antonio Nariño2018</v>
      </c>
      <c r="B78">
        <v>2018</v>
      </c>
      <c r="C78" t="s">
        <v>34</v>
      </c>
      <c r="D78" t="str">
        <f t="shared" si="3"/>
        <v>Antonio Nariño</v>
      </c>
      <c r="E78">
        <v>1.2098211994941301E-2</v>
      </c>
    </row>
    <row r="79" spans="1:5" x14ac:dyDescent="0.25">
      <c r="A79" t="str">
        <f t="shared" si="2"/>
        <v>Barrios Unidos2018</v>
      </c>
      <c r="B79">
        <v>2018</v>
      </c>
      <c r="C79" t="s">
        <v>35</v>
      </c>
      <c r="D79" t="str">
        <f t="shared" si="3"/>
        <v>Barrios Unidos</v>
      </c>
      <c r="E79">
        <v>6.6298912019840603E-3</v>
      </c>
    </row>
    <row r="80" spans="1:5" x14ac:dyDescent="0.25">
      <c r="A80" t="str">
        <f t="shared" si="2"/>
        <v>Bosa2018</v>
      </c>
      <c r="B80">
        <v>2018</v>
      </c>
      <c r="C80" t="s">
        <v>36</v>
      </c>
      <c r="D80" t="str">
        <f t="shared" si="3"/>
        <v>Bosa</v>
      </c>
      <c r="E80">
        <v>3.9267409307735701E-2</v>
      </c>
    </row>
    <row r="81" spans="1:5" x14ac:dyDescent="0.25">
      <c r="A81" t="str">
        <f t="shared" si="2"/>
        <v>La Candelaria2018</v>
      </c>
      <c r="B81">
        <v>2018</v>
      </c>
      <c r="C81" t="s">
        <v>37</v>
      </c>
      <c r="D81" t="str">
        <f t="shared" si="3"/>
        <v>La Candelaria</v>
      </c>
      <c r="E81">
        <v>1.6949400703536301E-3</v>
      </c>
    </row>
    <row r="82" spans="1:5" x14ac:dyDescent="0.25">
      <c r="A82" t="str">
        <f t="shared" si="2"/>
        <v>Chapinero2018</v>
      </c>
      <c r="B82">
        <v>2018</v>
      </c>
      <c r="C82" t="s">
        <v>38</v>
      </c>
      <c r="D82" t="str">
        <f t="shared" si="3"/>
        <v>Chapinero</v>
      </c>
      <c r="E82">
        <v>3.88369127530845E-3</v>
      </c>
    </row>
    <row r="83" spans="1:5" x14ac:dyDescent="0.25">
      <c r="A83" t="str">
        <f t="shared" si="2"/>
        <v>Ciudad Bolívar2018</v>
      </c>
      <c r="B83">
        <v>2018</v>
      </c>
      <c r="C83" t="s">
        <v>39</v>
      </c>
      <c r="D83" t="str">
        <f t="shared" si="3"/>
        <v>Ciudad Bolívar</v>
      </c>
      <c r="E83">
        <v>5.4742686051686897E-2</v>
      </c>
    </row>
    <row r="84" spans="1:5" x14ac:dyDescent="0.25">
      <c r="A84" t="str">
        <f t="shared" si="2"/>
        <v>Engativá2018</v>
      </c>
      <c r="B84">
        <v>2018</v>
      </c>
      <c r="C84" t="s">
        <v>40</v>
      </c>
      <c r="D84" t="str">
        <f t="shared" si="3"/>
        <v>Engativá</v>
      </c>
      <c r="E84">
        <v>1.45348229595238E-2</v>
      </c>
    </row>
    <row r="85" spans="1:5" x14ac:dyDescent="0.25">
      <c r="A85" t="str">
        <f t="shared" si="2"/>
        <v>Fontibón2018</v>
      </c>
      <c r="B85">
        <v>2018</v>
      </c>
      <c r="C85" t="s">
        <v>41</v>
      </c>
      <c r="D85" t="str">
        <f t="shared" si="3"/>
        <v>Fontibón</v>
      </c>
      <c r="E85">
        <v>1.4504112179719E-2</v>
      </c>
    </row>
    <row r="86" spans="1:5" x14ac:dyDescent="0.25">
      <c r="A86" t="str">
        <f t="shared" si="2"/>
        <v>Kennedy2018</v>
      </c>
      <c r="B86">
        <v>2018</v>
      </c>
      <c r="C86" t="s">
        <v>42</v>
      </c>
      <c r="D86" t="str">
        <f t="shared" si="3"/>
        <v>Kennedy</v>
      </c>
      <c r="E86">
        <v>2.3776718154383598E-2</v>
      </c>
    </row>
    <row r="87" spans="1:5" x14ac:dyDescent="0.25">
      <c r="A87" t="str">
        <f t="shared" si="2"/>
        <v>Los Mártires2018</v>
      </c>
      <c r="B87">
        <v>2018</v>
      </c>
      <c r="C87" t="s">
        <v>43</v>
      </c>
      <c r="D87" t="str">
        <f t="shared" si="3"/>
        <v>Los Mártires</v>
      </c>
      <c r="E87">
        <v>1.9259540640282499E-2</v>
      </c>
    </row>
    <row r="88" spans="1:5" x14ac:dyDescent="0.25">
      <c r="A88" t="str">
        <f t="shared" si="2"/>
        <v>Puente Aranda2018</v>
      </c>
      <c r="B88">
        <v>2018</v>
      </c>
      <c r="C88" t="s">
        <v>44</v>
      </c>
      <c r="D88" t="str">
        <f t="shared" si="3"/>
        <v>Puente Aranda</v>
      </c>
      <c r="E88">
        <v>1.17656407543523E-2</v>
      </c>
    </row>
    <row r="89" spans="1:5" x14ac:dyDescent="0.25">
      <c r="A89" t="str">
        <f t="shared" si="2"/>
        <v>Rafael Uribe2018</v>
      </c>
      <c r="B89">
        <v>2018</v>
      </c>
      <c r="C89" t="s">
        <v>45</v>
      </c>
      <c r="D89" t="str">
        <f t="shared" si="3"/>
        <v>Rafael Uribe</v>
      </c>
      <c r="E89">
        <v>3.6302469571774298E-2</v>
      </c>
    </row>
    <row r="90" spans="1:5" x14ac:dyDescent="0.25">
      <c r="A90" t="str">
        <f t="shared" si="2"/>
        <v>San Cristóbal2018</v>
      </c>
      <c r="B90">
        <v>2018</v>
      </c>
      <c r="C90" t="s">
        <v>46</v>
      </c>
      <c r="D90" t="str">
        <f t="shared" si="3"/>
        <v>San Cristóbal</v>
      </c>
      <c r="E90">
        <v>4.0806343827952E-2</v>
      </c>
    </row>
    <row r="91" spans="1:5" x14ac:dyDescent="0.25">
      <c r="A91" t="str">
        <f t="shared" si="2"/>
        <v>Santa Fe2018</v>
      </c>
      <c r="B91">
        <v>2018</v>
      </c>
      <c r="C91" t="s">
        <v>47</v>
      </c>
      <c r="D91" t="str">
        <f t="shared" si="3"/>
        <v>Santa Fe</v>
      </c>
      <c r="E91">
        <v>4.2070213239042302E-2</v>
      </c>
    </row>
    <row r="92" spans="1:5" x14ac:dyDescent="0.25">
      <c r="A92" t="str">
        <f t="shared" si="2"/>
        <v>Suba2018</v>
      </c>
      <c r="B92">
        <v>2018</v>
      </c>
      <c r="C92" t="s">
        <v>48</v>
      </c>
      <c r="D92" t="str">
        <f t="shared" si="3"/>
        <v>Suba</v>
      </c>
      <c r="E92">
        <v>1.8430806120114801E-2</v>
      </c>
    </row>
    <row r="93" spans="1:5" x14ac:dyDescent="0.25">
      <c r="A93" t="str">
        <f t="shared" si="2"/>
        <v>Teusaquillo2018</v>
      </c>
      <c r="B93">
        <v>2018</v>
      </c>
      <c r="C93" t="s">
        <v>49</v>
      </c>
      <c r="D93" t="str">
        <f t="shared" si="3"/>
        <v>Teusaquillo</v>
      </c>
      <c r="E93">
        <v>2.7928153474040499E-4</v>
      </c>
    </row>
    <row r="94" spans="1:5" x14ac:dyDescent="0.25">
      <c r="A94" t="str">
        <f t="shared" si="2"/>
        <v>Tunjuelito2018</v>
      </c>
      <c r="B94">
        <v>2018</v>
      </c>
      <c r="C94" t="s">
        <v>50</v>
      </c>
      <c r="D94" t="str">
        <f t="shared" si="3"/>
        <v>Tunjuelito</v>
      </c>
      <c r="E94">
        <v>3.49498895656827E-2</v>
      </c>
    </row>
    <row r="95" spans="1:5" x14ac:dyDescent="0.25">
      <c r="A95" t="str">
        <f t="shared" si="2"/>
        <v>Usaquén2018</v>
      </c>
      <c r="B95">
        <v>2018</v>
      </c>
      <c r="C95" t="s">
        <v>51</v>
      </c>
      <c r="D95" t="str">
        <f t="shared" si="3"/>
        <v>Usaquén</v>
      </c>
      <c r="E95">
        <v>8.8692934714706094E-3</v>
      </c>
    </row>
    <row r="96" spans="1:5" x14ac:dyDescent="0.25">
      <c r="A96" t="str">
        <f t="shared" si="2"/>
        <v>Usme2018</v>
      </c>
      <c r="B96">
        <v>2018</v>
      </c>
      <c r="C96" t="s">
        <v>52</v>
      </c>
      <c r="D96" t="str">
        <f t="shared" si="3"/>
        <v>Usme</v>
      </c>
      <c r="E96">
        <v>5.3725499441713898E-2</v>
      </c>
    </row>
    <row r="97" spans="1:5" x14ac:dyDescent="0.25">
      <c r="A97" t="str">
        <f t="shared" si="2"/>
        <v>Antonio Nariño2019</v>
      </c>
      <c r="B97">
        <v>2019</v>
      </c>
      <c r="C97" t="s">
        <v>34</v>
      </c>
      <c r="D97" t="str">
        <f t="shared" si="3"/>
        <v>Antonio Nariño</v>
      </c>
      <c r="E97">
        <v>1.15582564971433E-2</v>
      </c>
    </row>
    <row r="98" spans="1:5" x14ac:dyDescent="0.25">
      <c r="A98" t="str">
        <f t="shared" si="2"/>
        <v>Barrios Unidos2019</v>
      </c>
      <c r="B98">
        <v>2019</v>
      </c>
      <c r="C98" t="s">
        <v>35</v>
      </c>
      <c r="D98" t="str">
        <f t="shared" si="3"/>
        <v>Barrios Unidos</v>
      </c>
      <c r="E98">
        <v>6.3339924191051899E-3</v>
      </c>
    </row>
    <row r="99" spans="1:5" x14ac:dyDescent="0.25">
      <c r="A99" t="str">
        <f t="shared" si="2"/>
        <v>Bosa2019</v>
      </c>
      <c r="B99">
        <v>2019</v>
      </c>
      <c r="C99" t="s">
        <v>36</v>
      </c>
      <c r="D99" t="str">
        <f t="shared" si="3"/>
        <v>Bosa</v>
      </c>
      <c r="E99">
        <v>3.7514864919452502E-2</v>
      </c>
    </row>
    <row r="100" spans="1:5" x14ac:dyDescent="0.25">
      <c r="A100" t="str">
        <f t="shared" si="2"/>
        <v>La Candelaria2019</v>
      </c>
      <c r="B100">
        <v>2019</v>
      </c>
      <c r="C100" t="s">
        <v>37</v>
      </c>
      <c r="D100" t="str">
        <f t="shared" si="3"/>
        <v>La Candelaria</v>
      </c>
      <c r="E100">
        <v>1.6192931722989301E-3</v>
      </c>
    </row>
    <row r="101" spans="1:5" x14ac:dyDescent="0.25">
      <c r="A101" t="str">
        <f t="shared" si="2"/>
        <v>Chapinero2019</v>
      </c>
      <c r="B101">
        <v>2019</v>
      </c>
      <c r="C101" t="s">
        <v>38</v>
      </c>
      <c r="D101" t="str">
        <f t="shared" si="3"/>
        <v>Chapinero</v>
      </c>
      <c r="E101">
        <v>3.7103581863586399E-3</v>
      </c>
    </row>
    <row r="102" spans="1:5" x14ac:dyDescent="0.25">
      <c r="A102" t="str">
        <f t="shared" si="2"/>
        <v>Ciudad Bolívar2019</v>
      </c>
      <c r="B102">
        <v>2019</v>
      </c>
      <c r="C102" t="s">
        <v>39</v>
      </c>
      <c r="D102" t="str">
        <f t="shared" si="3"/>
        <v>Ciudad Bolívar</v>
      </c>
      <c r="E102">
        <v>5.2299464333453102E-2</v>
      </c>
    </row>
    <row r="103" spans="1:5" x14ac:dyDescent="0.25">
      <c r="A103" t="str">
        <f t="shared" si="2"/>
        <v>Engativá2019</v>
      </c>
      <c r="B103">
        <v>2019</v>
      </c>
      <c r="C103" t="s">
        <v>40</v>
      </c>
      <c r="D103" t="str">
        <f t="shared" si="3"/>
        <v>Engativá</v>
      </c>
      <c r="E103">
        <v>1.38861190378371E-2</v>
      </c>
    </row>
    <row r="104" spans="1:5" x14ac:dyDescent="0.25">
      <c r="A104" t="str">
        <f t="shared" si="2"/>
        <v>Fontibón2019</v>
      </c>
      <c r="B104">
        <v>2019</v>
      </c>
      <c r="C104" t="s">
        <v>41</v>
      </c>
      <c r="D104" t="str">
        <f t="shared" si="3"/>
        <v>Fontibón</v>
      </c>
      <c r="E104">
        <v>1.3856778911349E-2</v>
      </c>
    </row>
    <row r="105" spans="1:5" x14ac:dyDescent="0.25">
      <c r="A105" t="str">
        <f t="shared" si="2"/>
        <v>Kennedy2019</v>
      </c>
      <c r="B105">
        <v>2019</v>
      </c>
      <c r="C105" t="s">
        <v>42</v>
      </c>
      <c r="D105" t="str">
        <f t="shared" si="3"/>
        <v>Kennedy</v>
      </c>
      <c r="E105">
        <v>2.2715539056809401E-2</v>
      </c>
    </row>
    <row r="106" spans="1:5" x14ac:dyDescent="0.25">
      <c r="A106" t="str">
        <f t="shared" si="2"/>
        <v>Los Mártires2019</v>
      </c>
      <c r="B106">
        <v>2019</v>
      </c>
      <c r="C106" t="s">
        <v>43</v>
      </c>
      <c r="D106" t="str">
        <f t="shared" si="3"/>
        <v>Los Mártires</v>
      </c>
      <c r="E106">
        <v>1.8399967766362501E-2</v>
      </c>
    </row>
    <row r="107" spans="1:5" x14ac:dyDescent="0.25">
      <c r="A107" t="str">
        <f t="shared" si="2"/>
        <v>Puente Aranda2019</v>
      </c>
      <c r="B107">
        <v>2019</v>
      </c>
      <c r="C107" t="s">
        <v>44</v>
      </c>
      <c r="D107" t="str">
        <f t="shared" si="3"/>
        <v>Puente Aranda</v>
      </c>
      <c r="E107">
        <v>1.12405282490428E-2</v>
      </c>
    </row>
    <row r="108" spans="1:5" x14ac:dyDescent="0.25">
      <c r="A108" t="str">
        <f t="shared" si="2"/>
        <v>Rafael Uribe2019</v>
      </c>
      <c r="B108">
        <v>2019</v>
      </c>
      <c r="C108" t="s">
        <v>45</v>
      </c>
      <c r="D108" t="str">
        <f t="shared" si="3"/>
        <v>Rafael Uribe</v>
      </c>
      <c r="E108">
        <v>3.4682253457432803E-2</v>
      </c>
    </row>
    <row r="109" spans="1:5" x14ac:dyDescent="0.25">
      <c r="A109" t="str">
        <f t="shared" si="2"/>
        <v>San Cristóbal2019</v>
      </c>
      <c r="B109">
        <v>2019</v>
      </c>
      <c r="C109" t="s">
        <v>46</v>
      </c>
      <c r="D109" t="str">
        <f t="shared" si="3"/>
        <v>San Cristóbal</v>
      </c>
      <c r="E109">
        <v>3.8985115227878703E-2</v>
      </c>
    </row>
    <row r="110" spans="1:5" x14ac:dyDescent="0.25">
      <c r="A110" t="str">
        <f t="shared" si="2"/>
        <v>Santa Fe2019</v>
      </c>
      <c r="B110">
        <v>2019</v>
      </c>
      <c r="C110" t="s">
        <v>47</v>
      </c>
      <c r="D110" t="str">
        <f t="shared" si="3"/>
        <v>Santa Fe</v>
      </c>
      <c r="E110">
        <v>4.0192576862571799E-2</v>
      </c>
    </row>
    <row r="111" spans="1:5" x14ac:dyDescent="0.25">
      <c r="A111" t="str">
        <f t="shared" si="2"/>
        <v>Suba2019</v>
      </c>
      <c r="B111">
        <v>2019</v>
      </c>
      <c r="C111" t="s">
        <v>48</v>
      </c>
      <c r="D111" t="str">
        <f t="shared" si="3"/>
        <v>Suba</v>
      </c>
      <c r="E111">
        <v>1.7608220510144899E-2</v>
      </c>
    </row>
    <row r="112" spans="1:5" x14ac:dyDescent="0.25">
      <c r="A112" t="str">
        <f t="shared" si="2"/>
        <v>Teusaquillo2019</v>
      </c>
      <c r="B112">
        <v>2019</v>
      </c>
      <c r="C112" t="s">
        <v>49</v>
      </c>
      <c r="D112" t="str">
        <f t="shared" si="3"/>
        <v>Teusaquillo</v>
      </c>
      <c r="E112">
        <v>2.6681691598685702E-4</v>
      </c>
    </row>
    <row r="113" spans="1:5" x14ac:dyDescent="0.25">
      <c r="A113" t="str">
        <f t="shared" si="2"/>
        <v>Tunjuelito2019</v>
      </c>
      <c r="B113">
        <v>2019</v>
      </c>
      <c r="C113" t="s">
        <v>50</v>
      </c>
      <c r="D113" t="str">
        <f t="shared" si="3"/>
        <v>Tunjuelito</v>
      </c>
      <c r="E113">
        <v>3.3390040471757601E-2</v>
      </c>
    </row>
    <row r="114" spans="1:5" x14ac:dyDescent="0.25">
      <c r="A114" t="str">
        <f t="shared" si="2"/>
        <v>Usaquén2019</v>
      </c>
      <c r="B114">
        <v>2019</v>
      </c>
      <c r="C114" t="s">
        <v>51</v>
      </c>
      <c r="D114" t="str">
        <f t="shared" si="3"/>
        <v>Usaquén</v>
      </c>
      <c r="E114">
        <v>8.4734478892054994E-3</v>
      </c>
    </row>
    <row r="115" spans="1:5" x14ac:dyDescent="0.25">
      <c r="A115" t="str">
        <f t="shared" si="2"/>
        <v>Usme2019</v>
      </c>
      <c r="B115">
        <v>2019</v>
      </c>
      <c r="C115" t="s">
        <v>52</v>
      </c>
      <c r="D115" t="str">
        <f t="shared" si="3"/>
        <v>Usme</v>
      </c>
      <c r="E115">
        <v>5.1327675795738298E-2</v>
      </c>
    </row>
    <row r="116" spans="1:5" x14ac:dyDescent="0.25">
      <c r="A116" t="str">
        <f t="shared" si="2"/>
        <v>Antonio Nariño2020</v>
      </c>
      <c r="B116">
        <v>2020</v>
      </c>
      <c r="C116" t="s">
        <v>34</v>
      </c>
      <c r="D116" t="str">
        <f t="shared" si="3"/>
        <v>Antonio Nariño</v>
      </c>
      <c r="E116">
        <v>1.2502740259217601E-2</v>
      </c>
    </row>
    <row r="117" spans="1:5" x14ac:dyDescent="0.25">
      <c r="A117" t="str">
        <f t="shared" si="2"/>
        <v>Barrios Unidos2020</v>
      </c>
      <c r="B117">
        <v>2020</v>
      </c>
      <c r="C117" t="s">
        <v>35</v>
      </c>
      <c r="D117" t="str">
        <f t="shared" si="3"/>
        <v>Barrios Unidos</v>
      </c>
      <c r="E117">
        <v>6.8515750657980202E-3</v>
      </c>
    </row>
    <row r="118" spans="1:5" x14ac:dyDescent="0.25">
      <c r="A118" t="str">
        <f t="shared" si="2"/>
        <v>Bosa2020</v>
      </c>
      <c r="B118">
        <v>2020</v>
      </c>
      <c r="C118" t="s">
        <v>36</v>
      </c>
      <c r="D118" t="str">
        <f t="shared" si="3"/>
        <v>Bosa</v>
      </c>
      <c r="E118">
        <v>4.0580394808115899E-2</v>
      </c>
    </row>
    <row r="119" spans="1:5" x14ac:dyDescent="0.25">
      <c r="A119" t="str">
        <f t="shared" si="2"/>
        <v>La Candelaria2020</v>
      </c>
      <c r="B119">
        <v>2020</v>
      </c>
      <c r="C119" t="s">
        <v>37</v>
      </c>
      <c r="D119" t="str">
        <f t="shared" si="3"/>
        <v>La Candelaria</v>
      </c>
      <c r="E119">
        <v>1.7516138304926601E-3</v>
      </c>
    </row>
    <row r="120" spans="1:5" x14ac:dyDescent="0.25">
      <c r="A120" t="str">
        <f t="shared" si="2"/>
        <v>Chapinero2020</v>
      </c>
      <c r="B120">
        <v>2020</v>
      </c>
      <c r="C120" t="s">
        <v>38</v>
      </c>
      <c r="D120" t="str">
        <f t="shared" si="3"/>
        <v>Chapinero</v>
      </c>
      <c r="E120">
        <v>4.0135503727719603E-3</v>
      </c>
    </row>
    <row r="121" spans="1:5" x14ac:dyDescent="0.25">
      <c r="A121" t="str">
        <f t="shared" si="2"/>
        <v>Ciudad Bolívar2020</v>
      </c>
      <c r="B121">
        <v>2020</v>
      </c>
      <c r="C121" t="s">
        <v>39</v>
      </c>
      <c r="D121" t="str">
        <f t="shared" si="3"/>
        <v>Ciudad Bolívar</v>
      </c>
      <c r="E121">
        <v>5.6573118827998703E-2</v>
      </c>
    </row>
    <row r="122" spans="1:5" x14ac:dyDescent="0.25">
      <c r="A122" t="str">
        <f t="shared" si="2"/>
        <v>Engativá2020</v>
      </c>
      <c r="B122">
        <v>2020</v>
      </c>
      <c r="C122" t="s">
        <v>40</v>
      </c>
      <c r="D122" t="str">
        <f t="shared" si="3"/>
        <v>Engativá</v>
      </c>
      <c r="E122">
        <v>1.50208242550737E-2</v>
      </c>
    </row>
    <row r="123" spans="1:5" x14ac:dyDescent="0.25">
      <c r="A123" t="str">
        <f t="shared" si="2"/>
        <v>Fontibón2020</v>
      </c>
      <c r="B123">
        <v>2020</v>
      </c>
      <c r="C123" t="s">
        <v>41</v>
      </c>
      <c r="D123" t="str">
        <f t="shared" si="3"/>
        <v>Fontibón</v>
      </c>
      <c r="E123">
        <v>1.49890865980366E-2</v>
      </c>
    </row>
    <row r="124" spans="1:5" x14ac:dyDescent="0.25">
      <c r="A124" t="str">
        <f t="shared" si="2"/>
        <v>Kennedy2020</v>
      </c>
      <c r="B124">
        <v>2020</v>
      </c>
      <c r="C124" t="s">
        <v>42</v>
      </c>
      <c r="D124" t="str">
        <f t="shared" si="3"/>
        <v>Kennedy</v>
      </c>
      <c r="E124">
        <v>2.4571740966779301E-2</v>
      </c>
    </row>
    <row r="125" spans="1:5" x14ac:dyDescent="0.25">
      <c r="A125" t="str">
        <f t="shared" si="2"/>
        <v>Los Mártires2020</v>
      </c>
      <c r="B125">
        <v>2020</v>
      </c>
      <c r="C125" t="s">
        <v>43</v>
      </c>
      <c r="D125" t="str">
        <f t="shared" si="3"/>
        <v>Los Mártires</v>
      </c>
      <c r="E125">
        <v>1.9903522457531901E-2</v>
      </c>
    </row>
    <row r="126" spans="1:5" x14ac:dyDescent="0.25">
      <c r="A126" t="str">
        <f t="shared" si="2"/>
        <v>Puente Aranda2020</v>
      </c>
      <c r="B126">
        <v>2020</v>
      </c>
      <c r="C126" t="s">
        <v>44</v>
      </c>
      <c r="D126" t="str">
        <f t="shared" si="3"/>
        <v>Puente Aranda</v>
      </c>
      <c r="E126">
        <v>1.21590488244412E-2</v>
      </c>
    </row>
    <row r="127" spans="1:5" x14ac:dyDescent="0.25">
      <c r="A127" t="str">
        <f t="shared" si="2"/>
        <v>Rafael Uribe2020</v>
      </c>
      <c r="B127">
        <v>2020</v>
      </c>
      <c r="C127" t="s">
        <v>45</v>
      </c>
      <c r="D127" t="str">
        <f t="shared" si="3"/>
        <v>Rafael Uribe</v>
      </c>
      <c r="E127">
        <v>3.75163162964764E-2</v>
      </c>
    </row>
    <row r="128" spans="1:5" x14ac:dyDescent="0.25">
      <c r="A128" t="str">
        <f t="shared" si="2"/>
        <v>San Cristóbal2020</v>
      </c>
      <c r="B128">
        <v>2020</v>
      </c>
      <c r="C128" t="s">
        <v>46</v>
      </c>
      <c r="D128" t="str">
        <f t="shared" si="3"/>
        <v>San Cristóbal</v>
      </c>
      <c r="E128">
        <v>4.21707867263807E-2</v>
      </c>
    </row>
    <row r="129" spans="1:5" x14ac:dyDescent="0.25">
      <c r="A129" t="str">
        <f t="shared" si="2"/>
        <v>Santa Fe2020</v>
      </c>
      <c r="B129">
        <v>2020</v>
      </c>
      <c r="C129" t="s">
        <v>47</v>
      </c>
      <c r="D129" t="str">
        <f t="shared" si="3"/>
        <v>Santa Fe</v>
      </c>
      <c r="E129">
        <v>4.3476916175512401E-2</v>
      </c>
    </row>
    <row r="130" spans="1:5" x14ac:dyDescent="0.25">
      <c r="A130" t="str">
        <f t="shared" si="2"/>
        <v>Suba2020</v>
      </c>
      <c r="B130">
        <v>2020</v>
      </c>
      <c r="C130" t="s">
        <v>48</v>
      </c>
      <c r="D130" t="str">
        <f t="shared" si="3"/>
        <v>Suba</v>
      </c>
      <c r="E130">
        <v>1.9047077517251799E-2</v>
      </c>
    </row>
    <row r="131" spans="1:5" x14ac:dyDescent="0.25">
      <c r="A131" t="str">
        <f t="shared" ref="A131:A194" si="4">D131&amp;B131</f>
        <v>Teusaquillo2020</v>
      </c>
      <c r="B131">
        <v>2020</v>
      </c>
      <c r="C131" t="s">
        <v>49</v>
      </c>
      <c r="D131" t="str">
        <f t="shared" ref="D131:D194" si="5">VLOOKUP(C131,$J$1:$K$20,2,FALSE)</f>
        <v>Teusaquillo</v>
      </c>
      <c r="E131">
        <v>2.8861987949252102E-4</v>
      </c>
    </row>
    <row r="132" spans="1:5" x14ac:dyDescent="0.25">
      <c r="A132" t="str">
        <f t="shared" si="4"/>
        <v>Tunjuelito2020</v>
      </c>
      <c r="B132">
        <v>2020</v>
      </c>
      <c r="C132" t="s">
        <v>50</v>
      </c>
      <c r="D132" t="str">
        <f t="shared" si="5"/>
        <v>Tunjuelito</v>
      </c>
      <c r="E132">
        <v>3.6118510033613299E-2</v>
      </c>
    </row>
    <row r="133" spans="1:5" x14ac:dyDescent="0.25">
      <c r="A133" t="str">
        <f t="shared" si="4"/>
        <v>Usaquén2020</v>
      </c>
      <c r="B133">
        <v>2020</v>
      </c>
      <c r="C133" t="s">
        <v>51</v>
      </c>
      <c r="D133" t="str">
        <f t="shared" si="5"/>
        <v>Usaquén</v>
      </c>
      <c r="E133">
        <v>9.1658562937183101E-3</v>
      </c>
    </row>
    <row r="134" spans="1:5" x14ac:dyDescent="0.25">
      <c r="A134" t="str">
        <f t="shared" si="4"/>
        <v>Usme2020</v>
      </c>
      <c r="B134">
        <v>2020</v>
      </c>
      <c r="C134" t="s">
        <v>52</v>
      </c>
      <c r="D134" t="str">
        <f t="shared" si="5"/>
        <v>Usme</v>
      </c>
      <c r="E134">
        <v>5.5521920519937602E-2</v>
      </c>
    </row>
    <row r="135" spans="1:5" x14ac:dyDescent="0.25">
      <c r="A135" t="str">
        <f t="shared" si="4"/>
        <v>Antonio Nariño2021</v>
      </c>
      <c r="B135">
        <v>2021</v>
      </c>
      <c r="C135" t="s">
        <v>34</v>
      </c>
      <c r="D135" t="str">
        <f t="shared" si="5"/>
        <v>Antonio Nariño</v>
      </c>
      <c r="E135">
        <v>1.2363526799998701E-2</v>
      </c>
    </row>
    <row r="136" spans="1:5" x14ac:dyDescent="0.25">
      <c r="A136" t="str">
        <f t="shared" si="4"/>
        <v>Barrios Unidos2021</v>
      </c>
      <c r="B136">
        <v>2021</v>
      </c>
      <c r="C136" t="s">
        <v>35</v>
      </c>
      <c r="D136" t="str">
        <f t="shared" si="5"/>
        <v>Barrios Unidos</v>
      </c>
      <c r="E136">
        <v>6.7752852728220903E-3</v>
      </c>
    </row>
    <row r="137" spans="1:5" x14ac:dyDescent="0.25">
      <c r="A137" t="str">
        <f t="shared" si="4"/>
        <v>Bosa2021</v>
      </c>
      <c r="B137">
        <v>2021</v>
      </c>
      <c r="C137" t="s">
        <v>36</v>
      </c>
      <c r="D137" t="str">
        <f t="shared" si="5"/>
        <v>Bosa</v>
      </c>
      <c r="E137">
        <v>4.0128546891532897E-2</v>
      </c>
    </row>
    <row r="138" spans="1:5" x14ac:dyDescent="0.25">
      <c r="A138" t="str">
        <f t="shared" si="4"/>
        <v>La Candelaria2021</v>
      </c>
      <c r="B138">
        <v>2021</v>
      </c>
      <c r="C138" t="s">
        <v>37</v>
      </c>
      <c r="D138" t="str">
        <f t="shared" si="5"/>
        <v>La Candelaria</v>
      </c>
      <c r="E138">
        <v>1.7321102484376199E-3</v>
      </c>
    </row>
    <row r="139" spans="1:5" x14ac:dyDescent="0.25">
      <c r="A139" t="str">
        <f t="shared" si="4"/>
        <v>Chapinero2021</v>
      </c>
      <c r="B139">
        <v>2021</v>
      </c>
      <c r="C139" t="s">
        <v>38</v>
      </c>
      <c r="D139" t="str">
        <f t="shared" si="5"/>
        <v>Chapinero</v>
      </c>
      <c r="E139">
        <v>3.9688609511285E-3</v>
      </c>
    </row>
    <row r="140" spans="1:5" x14ac:dyDescent="0.25">
      <c r="A140" t="str">
        <f t="shared" si="4"/>
        <v>Ciudad Bolívar2021</v>
      </c>
      <c r="B140">
        <v>2021</v>
      </c>
      <c r="C140" t="s">
        <v>39</v>
      </c>
      <c r="D140" t="str">
        <f t="shared" si="5"/>
        <v>Ciudad Bolívar</v>
      </c>
      <c r="E140">
        <v>5.5943197754093302E-2</v>
      </c>
    </row>
    <row r="141" spans="1:5" x14ac:dyDescent="0.25">
      <c r="A141" t="str">
        <f t="shared" si="4"/>
        <v>Engativá2021</v>
      </c>
      <c r="B141">
        <v>2021</v>
      </c>
      <c r="C141" t="s">
        <v>40</v>
      </c>
      <c r="D141" t="str">
        <f t="shared" si="5"/>
        <v>Engativá</v>
      </c>
      <c r="E141">
        <v>1.48535728476611E-2</v>
      </c>
    </row>
    <row r="142" spans="1:5" x14ac:dyDescent="0.25">
      <c r="A142" t="str">
        <f t="shared" si="4"/>
        <v>Fontibón2021</v>
      </c>
      <c r="B142">
        <v>2021</v>
      </c>
      <c r="C142" t="s">
        <v>41</v>
      </c>
      <c r="D142" t="str">
        <f t="shared" si="5"/>
        <v>Fontibón</v>
      </c>
      <c r="E142">
        <v>1.4822188577876099E-2</v>
      </c>
    </row>
    <row r="143" spans="1:5" x14ac:dyDescent="0.25">
      <c r="A143" t="str">
        <f t="shared" si="4"/>
        <v>Kennedy2021</v>
      </c>
      <c r="B143">
        <v>2021</v>
      </c>
      <c r="C143" t="s">
        <v>42</v>
      </c>
      <c r="D143" t="str">
        <f t="shared" si="5"/>
        <v>Kennedy</v>
      </c>
      <c r="E143">
        <v>2.4298143580278899E-2</v>
      </c>
    </row>
    <row r="144" spans="1:5" x14ac:dyDescent="0.25">
      <c r="A144" t="str">
        <f t="shared" si="4"/>
        <v>Los Mártires2021</v>
      </c>
      <c r="B144">
        <v>2021</v>
      </c>
      <c r="C144" t="s">
        <v>43</v>
      </c>
      <c r="D144" t="str">
        <f t="shared" si="5"/>
        <v>Los Mártires</v>
      </c>
      <c r="E144">
        <v>1.9681903983940801E-2</v>
      </c>
    </row>
    <row r="145" spans="1:5" x14ac:dyDescent="0.25">
      <c r="A145" t="str">
        <f t="shared" si="4"/>
        <v>Puente Aranda2021</v>
      </c>
      <c r="B145">
        <v>2021</v>
      </c>
      <c r="C145" t="s">
        <v>44</v>
      </c>
      <c r="D145" t="str">
        <f t="shared" si="5"/>
        <v>Puente Aranda</v>
      </c>
      <c r="E145">
        <v>1.2023662244174199E-2</v>
      </c>
    </row>
    <row r="146" spans="1:5" x14ac:dyDescent="0.25">
      <c r="A146" t="str">
        <f t="shared" si="4"/>
        <v>Rafael Uribe2021</v>
      </c>
      <c r="B146">
        <v>2021</v>
      </c>
      <c r="C146" t="s">
        <v>45</v>
      </c>
      <c r="D146" t="str">
        <f t="shared" si="5"/>
        <v>Rafael Uribe</v>
      </c>
      <c r="E146">
        <v>3.7098585778166097E-2</v>
      </c>
    </row>
    <row r="147" spans="1:5" x14ac:dyDescent="0.25">
      <c r="A147" t="str">
        <f t="shared" si="4"/>
        <v>San Cristóbal2021</v>
      </c>
      <c r="B147">
        <v>2021</v>
      </c>
      <c r="C147" t="s">
        <v>46</v>
      </c>
      <c r="D147" t="str">
        <f t="shared" si="5"/>
        <v>San Cristóbal</v>
      </c>
      <c r="E147">
        <v>4.1701230375017301E-2</v>
      </c>
    </row>
    <row r="148" spans="1:5" x14ac:dyDescent="0.25">
      <c r="A148" t="str">
        <f t="shared" si="4"/>
        <v>Santa Fe2021</v>
      </c>
      <c r="B148">
        <v>2021</v>
      </c>
      <c r="C148" t="s">
        <v>47</v>
      </c>
      <c r="D148" t="str">
        <f t="shared" si="5"/>
        <v>Santa Fe</v>
      </c>
      <c r="E148">
        <v>4.2992816548432601E-2</v>
      </c>
    </row>
    <row r="149" spans="1:5" x14ac:dyDescent="0.25">
      <c r="A149" t="str">
        <f t="shared" si="4"/>
        <v>Suba2021</v>
      </c>
      <c r="B149">
        <v>2021</v>
      </c>
      <c r="C149" t="s">
        <v>48</v>
      </c>
      <c r="D149" t="str">
        <f t="shared" si="5"/>
        <v>Suba</v>
      </c>
      <c r="E149">
        <v>1.8834995246148699E-2</v>
      </c>
    </row>
    <row r="150" spans="1:5" x14ac:dyDescent="0.25">
      <c r="A150" t="str">
        <f t="shared" si="4"/>
        <v>Teusaquillo2021</v>
      </c>
      <c r="B150">
        <v>2021</v>
      </c>
      <c r="C150" t="s">
        <v>49</v>
      </c>
      <c r="D150" t="str">
        <f t="shared" si="5"/>
        <v>Teusaquillo</v>
      </c>
      <c r="E150">
        <v>2.85406202251336E-4</v>
      </c>
    </row>
    <row r="151" spans="1:5" x14ac:dyDescent="0.25">
      <c r="A151" t="str">
        <f t="shared" si="4"/>
        <v>Tunjuelito2021</v>
      </c>
      <c r="B151">
        <v>2021</v>
      </c>
      <c r="C151" t="s">
        <v>50</v>
      </c>
      <c r="D151" t="str">
        <f t="shared" si="5"/>
        <v>Tunjuelito</v>
      </c>
      <c r="E151">
        <v>3.5716343578951197E-2</v>
      </c>
    </row>
    <row r="152" spans="1:5" x14ac:dyDescent="0.25">
      <c r="A152" t="str">
        <f t="shared" si="4"/>
        <v>Usaquén2021</v>
      </c>
      <c r="B152">
        <v>2021</v>
      </c>
      <c r="C152" t="s">
        <v>51</v>
      </c>
      <c r="D152" t="str">
        <f t="shared" si="5"/>
        <v>Usaquén</v>
      </c>
      <c r="E152">
        <v>9.0637978221435704E-3</v>
      </c>
    </row>
    <row r="153" spans="1:5" x14ac:dyDescent="0.25">
      <c r="A153" t="str">
        <f t="shared" si="4"/>
        <v>Usme2021</v>
      </c>
      <c r="B153">
        <v>2021</v>
      </c>
      <c r="C153" t="s">
        <v>52</v>
      </c>
      <c r="D153" t="str">
        <f t="shared" si="5"/>
        <v>Usme</v>
      </c>
      <c r="E153">
        <v>5.4903704156340202E-2</v>
      </c>
    </row>
    <row r="154" spans="1:5" x14ac:dyDescent="0.25">
      <c r="A154" t="str">
        <f t="shared" si="4"/>
        <v>Antonio Nariño2022</v>
      </c>
      <c r="B154">
        <v>2022</v>
      </c>
      <c r="C154" t="s">
        <v>34</v>
      </c>
      <c r="D154" t="str">
        <f t="shared" si="5"/>
        <v>Antonio Nariño</v>
      </c>
      <c r="E154">
        <v>1.1694915614038799E-2</v>
      </c>
    </row>
    <row r="155" spans="1:5" x14ac:dyDescent="0.25">
      <c r="A155" t="str">
        <f t="shared" si="4"/>
        <v>Barrios Unidos2022</v>
      </c>
      <c r="B155">
        <v>2022</v>
      </c>
      <c r="C155" t="s">
        <v>35</v>
      </c>
      <c r="D155" t="str">
        <f t="shared" si="5"/>
        <v>Barrios Unidos</v>
      </c>
      <c r="E155">
        <v>6.40888241749133E-3</v>
      </c>
    </row>
    <row r="156" spans="1:5" x14ac:dyDescent="0.25">
      <c r="A156" t="str">
        <f t="shared" si="4"/>
        <v>Bosa2022</v>
      </c>
      <c r="B156">
        <v>2022</v>
      </c>
      <c r="C156" t="s">
        <v>36</v>
      </c>
      <c r="D156" t="str">
        <f t="shared" si="5"/>
        <v>Bosa</v>
      </c>
      <c r="E156">
        <v>3.7958422155927901E-2</v>
      </c>
    </row>
    <row r="157" spans="1:5" x14ac:dyDescent="0.25">
      <c r="A157" t="str">
        <f t="shared" si="4"/>
        <v>La Candelaria2022</v>
      </c>
      <c r="B157">
        <v>2022</v>
      </c>
      <c r="C157" t="s">
        <v>37</v>
      </c>
      <c r="D157" t="str">
        <f t="shared" si="5"/>
        <v>La Candelaria</v>
      </c>
      <c r="E157">
        <v>1.6384388950968201E-3</v>
      </c>
    </row>
    <row r="158" spans="1:5" x14ac:dyDescent="0.25">
      <c r="A158" t="str">
        <f t="shared" si="4"/>
        <v>Chapinero2022</v>
      </c>
      <c r="B158">
        <v>2022</v>
      </c>
      <c r="C158" t="s">
        <v>38</v>
      </c>
      <c r="D158" t="str">
        <f t="shared" si="5"/>
        <v>Chapinero</v>
      </c>
      <c r="E158">
        <v>3.7542276292317099E-3</v>
      </c>
    </row>
    <row r="159" spans="1:5" x14ac:dyDescent="0.25">
      <c r="A159" t="str">
        <f t="shared" si="4"/>
        <v>Ciudad Bolívar2022</v>
      </c>
      <c r="B159">
        <v>2022</v>
      </c>
      <c r="C159" t="s">
        <v>39</v>
      </c>
      <c r="D159" t="str">
        <f t="shared" si="5"/>
        <v>Ciudad Bolívar</v>
      </c>
      <c r="E159">
        <v>5.2917827372176499E-2</v>
      </c>
    </row>
    <row r="160" spans="1:5" x14ac:dyDescent="0.25">
      <c r="A160" t="str">
        <f t="shared" si="4"/>
        <v>Engativá2022</v>
      </c>
      <c r="B160">
        <v>2022</v>
      </c>
      <c r="C160" t="s">
        <v>40</v>
      </c>
      <c r="D160" t="str">
        <f t="shared" si="5"/>
        <v>Engativá</v>
      </c>
      <c r="E160">
        <v>1.4050301651822699E-2</v>
      </c>
    </row>
    <row r="161" spans="1:5" x14ac:dyDescent="0.25">
      <c r="A161" t="str">
        <f t="shared" si="4"/>
        <v>Fontibón2022</v>
      </c>
      <c r="B161">
        <v>2022</v>
      </c>
      <c r="C161" t="s">
        <v>41</v>
      </c>
      <c r="D161" t="str">
        <f t="shared" si="5"/>
        <v>Fontibón</v>
      </c>
      <c r="E161">
        <v>1.40206146221683E-2</v>
      </c>
    </row>
    <row r="162" spans="1:5" x14ac:dyDescent="0.25">
      <c r="A162" t="str">
        <f t="shared" si="4"/>
        <v>Kennedy2022</v>
      </c>
      <c r="B162">
        <v>2022</v>
      </c>
      <c r="C162" t="s">
        <v>42</v>
      </c>
      <c r="D162" t="str">
        <f t="shared" si="5"/>
        <v>Kennedy</v>
      </c>
      <c r="E162">
        <v>2.29841163727806E-2</v>
      </c>
    </row>
    <row r="163" spans="1:5" x14ac:dyDescent="0.25">
      <c r="A163" t="str">
        <f t="shared" si="4"/>
        <v>Los Mártires2022</v>
      </c>
      <c r="B163">
        <v>2022</v>
      </c>
      <c r="C163" t="s">
        <v>43</v>
      </c>
      <c r="D163" t="str">
        <f t="shared" si="5"/>
        <v>Los Mártires</v>
      </c>
      <c r="E163">
        <v>1.86175198985962E-2</v>
      </c>
    </row>
    <row r="164" spans="1:5" x14ac:dyDescent="0.25">
      <c r="A164" t="str">
        <f t="shared" si="4"/>
        <v>Puente Aranda2022</v>
      </c>
      <c r="B164">
        <v>2022</v>
      </c>
      <c r="C164" t="s">
        <v>44</v>
      </c>
      <c r="D164" t="str">
        <f t="shared" si="5"/>
        <v>Puente Aranda</v>
      </c>
      <c r="E164">
        <v>1.13734307040396E-2</v>
      </c>
    </row>
    <row r="165" spans="1:5" x14ac:dyDescent="0.25">
      <c r="A165" t="str">
        <f t="shared" si="4"/>
        <v>Rafael Uribe2022</v>
      </c>
      <c r="B165">
        <v>2022</v>
      </c>
      <c r="C165" t="s">
        <v>45</v>
      </c>
      <c r="D165" t="str">
        <f t="shared" si="5"/>
        <v>Rafael Uribe</v>
      </c>
      <c r="E165">
        <v>3.5092319294837498E-2</v>
      </c>
    </row>
    <row r="166" spans="1:5" x14ac:dyDescent="0.25">
      <c r="A166" t="str">
        <f t="shared" si="4"/>
        <v>San Cristóbal2022</v>
      </c>
      <c r="B166">
        <v>2022</v>
      </c>
      <c r="C166" t="s">
        <v>46</v>
      </c>
      <c r="D166" t="str">
        <f t="shared" si="5"/>
        <v>San Cristóbal</v>
      </c>
      <c r="E166">
        <v>3.9446055977932902E-2</v>
      </c>
    </row>
    <row r="167" spans="1:5" x14ac:dyDescent="0.25">
      <c r="A167" t="str">
        <f t="shared" si="4"/>
        <v>Santa Fe2022</v>
      </c>
      <c r="B167">
        <v>2022</v>
      </c>
      <c r="C167" t="s">
        <v>47</v>
      </c>
      <c r="D167" t="str">
        <f t="shared" si="5"/>
        <v>Santa Fe</v>
      </c>
      <c r="E167">
        <v>4.0667794042702002E-2</v>
      </c>
    </row>
    <row r="168" spans="1:5" x14ac:dyDescent="0.25">
      <c r="A168" t="str">
        <f t="shared" si="4"/>
        <v>Suba2022</v>
      </c>
      <c r="B168">
        <v>2022</v>
      </c>
      <c r="C168" t="s">
        <v>48</v>
      </c>
      <c r="D168" t="str">
        <f t="shared" si="5"/>
        <v>Suba</v>
      </c>
      <c r="E168">
        <v>1.7816411413817301E-2</v>
      </c>
    </row>
    <row r="169" spans="1:5" x14ac:dyDescent="0.25">
      <c r="A169" t="str">
        <f t="shared" si="4"/>
        <v>Teusaquillo2022</v>
      </c>
      <c r="B169">
        <v>2022</v>
      </c>
      <c r="C169" t="s">
        <v>49</v>
      </c>
      <c r="D169" t="str">
        <f t="shared" si="5"/>
        <v>Teusaquillo</v>
      </c>
      <c r="E169">
        <v>2.6997162743668202E-4</v>
      </c>
    </row>
    <row r="170" spans="1:5" x14ac:dyDescent="0.25">
      <c r="A170" t="str">
        <f t="shared" si="4"/>
        <v>Tunjuelito2022</v>
      </c>
      <c r="B170">
        <v>2022</v>
      </c>
      <c r="C170" t="s">
        <v>50</v>
      </c>
      <c r="D170" t="str">
        <f t="shared" si="5"/>
        <v>Tunjuelito</v>
      </c>
      <c r="E170">
        <v>3.3784827820965799E-2</v>
      </c>
    </row>
    <row r="171" spans="1:5" x14ac:dyDescent="0.25">
      <c r="A171" t="str">
        <f t="shared" si="4"/>
        <v>Usaquén2022</v>
      </c>
      <c r="B171">
        <v>2022</v>
      </c>
      <c r="C171" t="s">
        <v>51</v>
      </c>
      <c r="D171" t="str">
        <f t="shared" si="5"/>
        <v>Usaquén</v>
      </c>
      <c r="E171">
        <v>8.5736337525219204E-3</v>
      </c>
    </row>
    <row r="172" spans="1:5" x14ac:dyDescent="0.25">
      <c r="A172" t="str">
        <f t="shared" si="4"/>
        <v>Usme2022</v>
      </c>
      <c r="B172">
        <v>2022</v>
      </c>
      <c r="C172" t="s">
        <v>52</v>
      </c>
      <c r="D172" t="str">
        <f t="shared" si="5"/>
        <v>Usme</v>
      </c>
      <c r="E172">
        <v>5.19345488866996E-2</v>
      </c>
    </row>
    <row r="173" spans="1:5" x14ac:dyDescent="0.25">
      <c r="A173" t="str">
        <f t="shared" si="4"/>
        <v>Antonio Nariño2023</v>
      </c>
      <c r="B173">
        <v>2023</v>
      </c>
      <c r="C173" t="s">
        <v>34</v>
      </c>
      <c r="D173" t="str">
        <f t="shared" si="5"/>
        <v>Antonio Nariño</v>
      </c>
      <c r="E173">
        <v>1.1047089334157699E-2</v>
      </c>
    </row>
    <row r="174" spans="1:5" x14ac:dyDescent="0.25">
      <c r="A174" t="str">
        <f t="shared" si="4"/>
        <v>Barrios Unidos2023</v>
      </c>
      <c r="B174">
        <v>2023</v>
      </c>
      <c r="C174" t="s">
        <v>35</v>
      </c>
      <c r="D174" t="str">
        <f t="shared" si="5"/>
        <v>Barrios Unidos</v>
      </c>
      <c r="E174">
        <v>6.0538698127201602E-3</v>
      </c>
    </row>
    <row r="175" spans="1:5" x14ac:dyDescent="0.25">
      <c r="A175" t="str">
        <f t="shared" si="4"/>
        <v>Bosa2023</v>
      </c>
      <c r="B175">
        <v>2023</v>
      </c>
      <c r="C175" t="s">
        <v>36</v>
      </c>
      <c r="D175" t="str">
        <f t="shared" si="5"/>
        <v>Bosa</v>
      </c>
      <c r="E175">
        <v>3.58557594068344E-2</v>
      </c>
    </row>
    <row r="176" spans="1:5" x14ac:dyDescent="0.25">
      <c r="A176" t="str">
        <f t="shared" si="4"/>
        <v>La Candelaria2023</v>
      </c>
      <c r="B176">
        <v>2023</v>
      </c>
      <c r="C176" t="s">
        <v>37</v>
      </c>
      <c r="D176" t="str">
        <f t="shared" si="5"/>
        <v>La Candelaria</v>
      </c>
      <c r="E176">
        <v>1.5476794737163901E-3</v>
      </c>
    </row>
    <row r="177" spans="1:5" x14ac:dyDescent="0.25">
      <c r="A177" t="str">
        <f t="shared" si="4"/>
        <v>Chapinero2023</v>
      </c>
      <c r="B177">
        <v>2023</v>
      </c>
      <c r="C177" t="s">
        <v>38</v>
      </c>
      <c r="D177" t="str">
        <f t="shared" si="5"/>
        <v>Chapinero</v>
      </c>
      <c r="E177">
        <v>3.5462665460450501E-3</v>
      </c>
    </row>
    <row r="178" spans="1:5" x14ac:dyDescent="0.25">
      <c r="A178" t="str">
        <f t="shared" si="4"/>
        <v>Ciudad Bolívar2023</v>
      </c>
      <c r="B178">
        <v>2023</v>
      </c>
      <c r="C178" t="s">
        <v>39</v>
      </c>
      <c r="D178" t="str">
        <f t="shared" si="5"/>
        <v>Ciudad Bolívar</v>
      </c>
      <c r="E178">
        <v>4.9986505729739297E-2</v>
      </c>
    </row>
    <row r="179" spans="1:5" x14ac:dyDescent="0.25">
      <c r="A179" t="str">
        <f t="shared" si="4"/>
        <v>Engativá2023</v>
      </c>
      <c r="B179">
        <v>2023</v>
      </c>
      <c r="C179" t="s">
        <v>40</v>
      </c>
      <c r="D179" t="str">
        <f t="shared" si="5"/>
        <v>Engativá</v>
      </c>
      <c r="E179">
        <v>1.3272001495523799E-2</v>
      </c>
    </row>
    <row r="180" spans="1:5" x14ac:dyDescent="0.25">
      <c r="A180" t="str">
        <f t="shared" si="4"/>
        <v>Fontibón2023</v>
      </c>
      <c r="B180">
        <v>2023</v>
      </c>
      <c r="C180" t="s">
        <v>41</v>
      </c>
      <c r="D180" t="str">
        <f t="shared" si="5"/>
        <v>Fontibón</v>
      </c>
      <c r="E180">
        <v>1.32439589444289E-2</v>
      </c>
    </row>
    <row r="181" spans="1:5" x14ac:dyDescent="0.25">
      <c r="A181" t="str">
        <f t="shared" si="4"/>
        <v>Kennedy2023</v>
      </c>
      <c r="B181">
        <v>2023</v>
      </c>
      <c r="C181" t="s">
        <v>42</v>
      </c>
      <c r="D181" t="str">
        <f t="shared" si="5"/>
        <v>Kennedy</v>
      </c>
      <c r="E181">
        <v>2.1710937916643702E-2</v>
      </c>
    </row>
    <row r="182" spans="1:5" x14ac:dyDescent="0.25">
      <c r="A182" t="str">
        <f t="shared" si="4"/>
        <v>Los Mártires2023</v>
      </c>
      <c r="B182">
        <v>2023</v>
      </c>
      <c r="C182" t="s">
        <v>43</v>
      </c>
      <c r="D182" t="str">
        <f t="shared" si="5"/>
        <v>Los Mártires</v>
      </c>
      <c r="E182">
        <v>1.7586223987230899E-2</v>
      </c>
    </row>
    <row r="183" spans="1:5" x14ac:dyDescent="0.25">
      <c r="A183" t="str">
        <f t="shared" si="4"/>
        <v>Puente Aranda2023</v>
      </c>
      <c r="B183">
        <v>2023</v>
      </c>
      <c r="C183" t="s">
        <v>44</v>
      </c>
      <c r="D183" t="str">
        <f t="shared" si="5"/>
        <v>Puente Aranda</v>
      </c>
      <c r="E183">
        <v>1.0743412707702901E-2</v>
      </c>
    </row>
    <row r="184" spans="1:5" x14ac:dyDescent="0.25">
      <c r="A184" t="str">
        <f t="shared" si="4"/>
        <v>Rafael Uribe2023</v>
      </c>
      <c r="B184">
        <v>2023</v>
      </c>
      <c r="C184" t="s">
        <v>45</v>
      </c>
      <c r="D184" t="str">
        <f t="shared" si="5"/>
        <v>Rafael Uribe</v>
      </c>
      <c r="E184">
        <v>3.3148420987962501E-2</v>
      </c>
    </row>
    <row r="185" spans="1:5" x14ac:dyDescent="0.25">
      <c r="A185" t="str">
        <f t="shared" si="4"/>
        <v>San Cristóbal2023</v>
      </c>
      <c r="B185">
        <v>2023</v>
      </c>
      <c r="C185" t="s">
        <v>46</v>
      </c>
      <c r="D185" t="str">
        <f t="shared" si="5"/>
        <v>San Cristóbal</v>
      </c>
      <c r="E185">
        <v>3.7260987479491497E-2</v>
      </c>
    </row>
    <row r="186" spans="1:5" x14ac:dyDescent="0.25">
      <c r="A186" t="str">
        <f t="shared" si="4"/>
        <v>Santa Fe2023</v>
      </c>
      <c r="B186">
        <v>2023</v>
      </c>
      <c r="C186" t="s">
        <v>47</v>
      </c>
      <c r="D186" t="str">
        <f t="shared" si="5"/>
        <v>Santa Fe</v>
      </c>
      <c r="E186">
        <v>3.8415048781844402E-2</v>
      </c>
    </row>
    <row r="187" spans="1:5" x14ac:dyDescent="0.25">
      <c r="A187" t="str">
        <f t="shared" si="4"/>
        <v>Suba2023</v>
      </c>
      <c r="B187">
        <v>2023</v>
      </c>
      <c r="C187" t="s">
        <v>48</v>
      </c>
      <c r="D187" t="str">
        <f t="shared" si="5"/>
        <v>Suba</v>
      </c>
      <c r="E187">
        <v>1.68294919773752E-2</v>
      </c>
    </row>
    <row r="188" spans="1:5" x14ac:dyDescent="0.25">
      <c r="A188" t="str">
        <f t="shared" si="4"/>
        <v>Teusaquillo2023</v>
      </c>
      <c r="B188">
        <v>2023</v>
      </c>
      <c r="C188" t="s">
        <v>49</v>
      </c>
      <c r="D188" t="str">
        <f t="shared" si="5"/>
        <v>Teusaquillo</v>
      </c>
      <c r="E188">
        <v>2.5501686240479E-4</v>
      </c>
    </row>
    <row r="189" spans="1:5" x14ac:dyDescent="0.25">
      <c r="A189" t="str">
        <f t="shared" si="4"/>
        <v>Tunjuelito2023</v>
      </c>
      <c r="B189">
        <v>2023</v>
      </c>
      <c r="C189" t="s">
        <v>50</v>
      </c>
      <c r="D189" t="str">
        <f t="shared" si="5"/>
        <v>Tunjuelito</v>
      </c>
      <c r="E189">
        <v>3.1913356487097699E-2</v>
      </c>
    </row>
    <row r="190" spans="1:5" x14ac:dyDescent="0.25">
      <c r="A190" t="str">
        <f t="shared" si="4"/>
        <v>Usaquén2023</v>
      </c>
      <c r="B190">
        <v>2023</v>
      </c>
      <c r="C190" t="s">
        <v>51</v>
      </c>
      <c r="D190" t="str">
        <f t="shared" si="5"/>
        <v>Usaquén</v>
      </c>
      <c r="E190">
        <v>8.0987072594831799E-3</v>
      </c>
    </row>
    <row r="191" spans="1:5" x14ac:dyDescent="0.25">
      <c r="A191" t="str">
        <f t="shared" si="4"/>
        <v>Usme2023</v>
      </c>
      <c r="B191">
        <v>2023</v>
      </c>
      <c r="C191" t="s">
        <v>52</v>
      </c>
      <c r="D191" t="str">
        <f t="shared" si="5"/>
        <v>Usme</v>
      </c>
      <c r="E191">
        <v>4.9057694814987701E-2</v>
      </c>
    </row>
    <row r="192" spans="1:5" x14ac:dyDescent="0.25">
      <c r="A192" t="str">
        <f t="shared" si="4"/>
        <v>Antonio Nariño2024</v>
      </c>
      <c r="B192">
        <v>2024</v>
      </c>
      <c r="C192" t="s">
        <v>34</v>
      </c>
      <c r="D192" t="str">
        <f t="shared" si="5"/>
        <v>Antonio Nariño</v>
      </c>
      <c r="E192">
        <v>1.04048713873061E-2</v>
      </c>
    </row>
    <row r="193" spans="1:5" x14ac:dyDescent="0.25">
      <c r="A193" t="str">
        <f t="shared" si="4"/>
        <v>Barrios Unidos2024</v>
      </c>
      <c r="B193">
        <v>2024</v>
      </c>
      <c r="C193" t="s">
        <v>35</v>
      </c>
      <c r="D193" t="str">
        <f t="shared" si="5"/>
        <v>Barrios Unidos</v>
      </c>
      <c r="E193">
        <v>5.7019306073757704E-3</v>
      </c>
    </row>
    <row r="194" spans="1:5" x14ac:dyDescent="0.25">
      <c r="A194" t="str">
        <f t="shared" si="4"/>
        <v>Bosa2024</v>
      </c>
      <c r="B194">
        <v>2024</v>
      </c>
      <c r="C194" t="s">
        <v>36</v>
      </c>
      <c r="D194" t="str">
        <f t="shared" si="5"/>
        <v>Bosa</v>
      </c>
      <c r="E194">
        <v>3.37712997367327E-2</v>
      </c>
    </row>
    <row r="195" spans="1:5" x14ac:dyDescent="0.25">
      <c r="A195" t="str">
        <f t="shared" ref="A195:A210" si="6">D195&amp;B195</f>
        <v>La Candelaria2024</v>
      </c>
      <c r="B195">
        <v>2024</v>
      </c>
      <c r="C195" t="s">
        <v>37</v>
      </c>
      <c r="D195" t="str">
        <f t="shared" ref="D195:D210" si="7">VLOOKUP(C195,$J$1:$K$20,2,FALSE)</f>
        <v>La Candelaria</v>
      </c>
      <c r="E195">
        <v>1.4577057707862301E-3</v>
      </c>
    </row>
    <row r="196" spans="1:5" x14ac:dyDescent="0.25">
      <c r="A196" t="str">
        <f t="shared" si="6"/>
        <v>Chapinero2024</v>
      </c>
      <c r="B196">
        <v>2024</v>
      </c>
      <c r="C196" t="s">
        <v>38</v>
      </c>
      <c r="D196" t="str">
        <f t="shared" si="7"/>
        <v>Chapinero</v>
      </c>
      <c r="E196">
        <v>3.3401058143537098E-3</v>
      </c>
    </row>
    <row r="197" spans="1:5" x14ac:dyDescent="0.25">
      <c r="A197" t="str">
        <f t="shared" si="6"/>
        <v>Ciudad Bolívar2024</v>
      </c>
      <c r="B197">
        <v>2024</v>
      </c>
      <c r="C197" t="s">
        <v>39</v>
      </c>
      <c r="D197" t="str">
        <f t="shared" si="7"/>
        <v>Ciudad Bolívar</v>
      </c>
      <c r="E197">
        <v>4.7080560995430197E-2</v>
      </c>
    </row>
    <row r="198" spans="1:5" x14ac:dyDescent="0.25">
      <c r="A198" t="str">
        <f t="shared" si="6"/>
        <v>Engativá2024</v>
      </c>
      <c r="B198">
        <v>2024</v>
      </c>
      <c r="C198" t="s">
        <v>40</v>
      </c>
      <c r="D198" t="str">
        <f t="shared" si="7"/>
        <v>Engativá</v>
      </c>
      <c r="E198">
        <v>1.2500439204929201E-2</v>
      </c>
    </row>
    <row r="199" spans="1:5" x14ac:dyDescent="0.25">
      <c r="A199" t="str">
        <f t="shared" si="6"/>
        <v>Fontibón2024</v>
      </c>
      <c r="B199">
        <v>2024</v>
      </c>
      <c r="C199" t="s">
        <v>41</v>
      </c>
      <c r="D199" t="str">
        <f t="shared" si="7"/>
        <v>Fontibón</v>
      </c>
      <c r="E199">
        <v>1.24740268958866E-2</v>
      </c>
    </row>
    <row r="200" spans="1:5" x14ac:dyDescent="0.25">
      <c r="A200" t="str">
        <f t="shared" si="6"/>
        <v>Kennedy2024</v>
      </c>
      <c r="B200">
        <v>2024</v>
      </c>
      <c r="C200" t="s">
        <v>42</v>
      </c>
      <c r="D200" t="str">
        <f t="shared" si="7"/>
        <v>Kennedy</v>
      </c>
      <c r="E200">
        <v>2.04487815647495E-2</v>
      </c>
    </row>
    <row r="201" spans="1:5" x14ac:dyDescent="0.25">
      <c r="A201" t="str">
        <f t="shared" si="6"/>
        <v>Los Mártires2024</v>
      </c>
      <c r="B201">
        <v>2024</v>
      </c>
      <c r="C201" t="s">
        <v>43</v>
      </c>
      <c r="D201" t="str">
        <f t="shared" si="7"/>
        <v>Los Mártires</v>
      </c>
      <c r="E201">
        <v>1.6563856165235501E-2</v>
      </c>
    </row>
    <row r="202" spans="1:5" x14ac:dyDescent="0.25">
      <c r="A202" t="str">
        <f t="shared" si="6"/>
        <v>Puente Aranda2024</v>
      </c>
      <c r="B202">
        <v>2024</v>
      </c>
      <c r="C202" t="s">
        <v>44</v>
      </c>
      <c r="D202" t="str">
        <f t="shared" si="7"/>
        <v>Puente Aranda</v>
      </c>
      <c r="E202">
        <v>1.01188488753107E-2</v>
      </c>
    </row>
    <row r="203" spans="1:5" x14ac:dyDescent="0.25">
      <c r="A203" t="str">
        <f t="shared" si="6"/>
        <v>Rafael Uribe2024</v>
      </c>
      <c r="B203">
        <v>2024</v>
      </c>
      <c r="C203" t="s">
        <v>45</v>
      </c>
      <c r="D203" t="str">
        <f t="shared" si="7"/>
        <v>Rafael Uribe</v>
      </c>
      <c r="E203">
        <v>3.12213513115694E-2</v>
      </c>
    </row>
    <row r="204" spans="1:5" x14ac:dyDescent="0.25">
      <c r="A204" t="str">
        <f t="shared" si="6"/>
        <v>San Cristóbal2024</v>
      </c>
      <c r="B204">
        <v>2024</v>
      </c>
      <c r="C204" t="s">
        <v>46</v>
      </c>
      <c r="D204" t="str">
        <f t="shared" si="7"/>
        <v>San Cristóbal</v>
      </c>
      <c r="E204">
        <v>3.5094835459452002E-2</v>
      </c>
    </row>
    <row r="205" spans="1:5" x14ac:dyDescent="0.25">
      <c r="A205" t="str">
        <f t="shared" si="6"/>
        <v>Santa Fe2024</v>
      </c>
      <c r="B205">
        <v>2024</v>
      </c>
      <c r="C205" t="s">
        <v>47</v>
      </c>
      <c r="D205" t="str">
        <f t="shared" si="7"/>
        <v>Santa Fe</v>
      </c>
      <c r="E205">
        <v>3.6181805887664301E-2</v>
      </c>
    </row>
    <row r="206" spans="1:5" x14ac:dyDescent="0.25">
      <c r="A206" t="str">
        <f t="shared" si="6"/>
        <v>Suba2024</v>
      </c>
      <c r="B206">
        <v>2024</v>
      </c>
      <c r="C206" t="s">
        <v>48</v>
      </c>
      <c r="D206" t="str">
        <f t="shared" si="7"/>
        <v>Suba</v>
      </c>
      <c r="E206">
        <v>1.5851116456246199E-2</v>
      </c>
    </row>
    <row r="207" spans="1:5" x14ac:dyDescent="0.25">
      <c r="A207" t="str">
        <f t="shared" si="6"/>
        <v>Teusaquillo2024</v>
      </c>
      <c r="B207">
        <v>2024</v>
      </c>
      <c r="C207" t="s">
        <v>49</v>
      </c>
      <c r="D207" t="str">
        <f t="shared" si="7"/>
        <v>Teusaquillo</v>
      </c>
      <c r="E207">
        <v>2.40191563103575E-4</v>
      </c>
    </row>
    <row r="208" spans="1:5" x14ac:dyDescent="0.25">
      <c r="A208" t="str">
        <f t="shared" si="6"/>
        <v>Tunjuelito2024</v>
      </c>
      <c r="B208">
        <v>2024</v>
      </c>
      <c r="C208" t="s">
        <v>50</v>
      </c>
      <c r="D208" t="str">
        <f t="shared" si="7"/>
        <v>Tunjuelito</v>
      </c>
      <c r="E208">
        <v>3.00580867721226E-2</v>
      </c>
    </row>
    <row r="209" spans="1:5" x14ac:dyDescent="0.25">
      <c r="A209" t="str">
        <f t="shared" si="6"/>
        <v>Usaquén2024</v>
      </c>
      <c r="B209">
        <v>2024</v>
      </c>
      <c r="C209" t="s">
        <v>51</v>
      </c>
      <c r="D209" t="str">
        <f t="shared" si="7"/>
        <v>Usaquén</v>
      </c>
      <c r="E209">
        <v>7.6278922790832798E-3</v>
      </c>
    </row>
    <row r="210" spans="1:5" x14ac:dyDescent="0.25">
      <c r="A210" t="str">
        <f t="shared" si="6"/>
        <v>Usme2024</v>
      </c>
      <c r="B210">
        <v>2024</v>
      </c>
      <c r="C210" t="s">
        <v>52</v>
      </c>
      <c r="D210" t="str">
        <f t="shared" si="7"/>
        <v>Usme</v>
      </c>
      <c r="E210">
        <v>4.6205746117158497E-2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D403-6BBA-4D60-9F33-FE317E13FD8D}">
  <dimension ref="A1:D229"/>
  <sheetViews>
    <sheetView topLeftCell="A199" workbookViewId="0">
      <selection activeCell="A230" sqref="A230:D243"/>
    </sheetView>
  </sheetViews>
  <sheetFormatPr defaultRowHeight="15" x14ac:dyDescent="0.25"/>
  <sheetData>
    <row r="1" spans="1:4" x14ac:dyDescent="0.25">
      <c r="A1" t="s">
        <v>63</v>
      </c>
      <c r="B1" t="s">
        <v>24</v>
      </c>
      <c r="C1" t="s">
        <v>1</v>
      </c>
      <c r="D1" t="s">
        <v>65</v>
      </c>
    </row>
    <row r="2" spans="1:4" x14ac:dyDescent="0.25">
      <c r="A2" t="str">
        <f>B2&amp;C2</f>
        <v>Antonio Nariño2011</v>
      </c>
      <c r="B2" t="s">
        <v>19</v>
      </c>
      <c r="C2">
        <v>2011</v>
      </c>
      <c r="D2">
        <v>709623.28240000003</v>
      </c>
    </row>
    <row r="3" spans="1:4" x14ac:dyDescent="0.25">
      <c r="A3" t="str">
        <f t="shared" ref="A3:A66" si="0">B3&amp;C3</f>
        <v>Antonio Nariño2014</v>
      </c>
      <c r="B3" t="s">
        <v>19</v>
      </c>
      <c r="C3">
        <v>2014</v>
      </c>
      <c r="D3">
        <v>890722.8872</v>
      </c>
    </row>
    <row r="4" spans="1:4" x14ac:dyDescent="0.25">
      <c r="A4" t="str">
        <f t="shared" si="0"/>
        <v>Antonio Nariño2015</v>
      </c>
      <c r="B4" t="s">
        <v>19</v>
      </c>
      <c r="C4">
        <v>2015</v>
      </c>
      <c r="D4">
        <v>951024.82666343998</v>
      </c>
    </row>
    <row r="5" spans="1:4" x14ac:dyDescent="0.25">
      <c r="A5" t="str">
        <f t="shared" si="0"/>
        <v>Antonio Nariño2016</v>
      </c>
      <c r="B5" t="s">
        <v>19</v>
      </c>
      <c r="C5">
        <v>2016</v>
      </c>
      <c r="D5">
        <v>1007705.90633258</v>
      </c>
    </row>
    <row r="6" spans="1:4" x14ac:dyDescent="0.25">
      <c r="A6" t="str">
        <f t="shared" si="0"/>
        <v>Antonio Nariño2017</v>
      </c>
      <c r="B6" t="s">
        <v>19</v>
      </c>
      <c r="C6">
        <v>2017</v>
      </c>
      <c r="D6">
        <v>901700.70990000002</v>
      </c>
    </row>
    <row r="7" spans="1:4" x14ac:dyDescent="0.25">
      <c r="A7" t="str">
        <f t="shared" si="0"/>
        <v>Antonio Nariño2018</v>
      </c>
      <c r="B7" t="s">
        <v>19</v>
      </c>
      <c r="C7">
        <v>2018</v>
      </c>
      <c r="D7">
        <v>931186.32311372994</v>
      </c>
    </row>
    <row r="8" spans="1:4" x14ac:dyDescent="0.25">
      <c r="A8" t="str">
        <f t="shared" si="0"/>
        <v>Antonio Nariño2019</v>
      </c>
      <c r="B8" t="s">
        <v>19</v>
      </c>
      <c r="C8">
        <v>2019</v>
      </c>
      <c r="D8">
        <v>966943.87792129698</v>
      </c>
    </row>
    <row r="9" spans="1:4" x14ac:dyDescent="0.25">
      <c r="A9" t="str">
        <f t="shared" si="0"/>
        <v>Antonio Nariño2020</v>
      </c>
      <c r="B9" t="s">
        <v>19</v>
      </c>
      <c r="C9">
        <v>2020</v>
      </c>
      <c r="D9">
        <v>981351.34170232399</v>
      </c>
    </row>
    <row r="10" spans="1:4" x14ac:dyDescent="0.25">
      <c r="A10" t="str">
        <f t="shared" si="0"/>
        <v>Antonio Nariño2021</v>
      </c>
      <c r="B10" t="s">
        <v>19</v>
      </c>
      <c r="C10">
        <v>2021</v>
      </c>
      <c r="D10">
        <v>1032970.42227587</v>
      </c>
    </row>
    <row r="11" spans="1:4" x14ac:dyDescent="0.25">
      <c r="A11" t="str">
        <f t="shared" si="0"/>
        <v>Antonio Nariño2022</v>
      </c>
      <c r="B11" t="s">
        <v>19</v>
      </c>
      <c r="C11">
        <v>2022</v>
      </c>
      <c r="D11">
        <v>1162401.61618703</v>
      </c>
    </row>
    <row r="12" spans="1:4" x14ac:dyDescent="0.25">
      <c r="A12" t="str">
        <f t="shared" si="0"/>
        <v>Antonio Nariño2023</v>
      </c>
      <c r="B12" t="s">
        <v>19</v>
      </c>
      <c r="C12">
        <v>2023</v>
      </c>
      <c r="D12">
        <v>1280385.38023002</v>
      </c>
    </row>
    <row r="13" spans="1:4" x14ac:dyDescent="0.25">
      <c r="A13" t="str">
        <f t="shared" si="0"/>
        <v>Antonio Nariño2024</v>
      </c>
      <c r="B13" t="s">
        <v>19</v>
      </c>
      <c r="C13">
        <v>2024</v>
      </c>
      <c r="D13">
        <v>1346965.4200019799</v>
      </c>
    </row>
    <row r="14" spans="1:4" x14ac:dyDescent="0.25">
      <c r="A14" t="str">
        <f t="shared" si="0"/>
        <v>Barrios Unidos2011</v>
      </c>
      <c r="B14" t="s">
        <v>15</v>
      </c>
      <c r="C14">
        <v>2011</v>
      </c>
      <c r="D14">
        <v>1219206.9979999999</v>
      </c>
    </row>
    <row r="15" spans="1:4" x14ac:dyDescent="0.25">
      <c r="A15" t="str">
        <f t="shared" si="0"/>
        <v>Barrios Unidos2014</v>
      </c>
      <c r="B15" t="s">
        <v>15</v>
      </c>
      <c r="C15">
        <v>2014</v>
      </c>
      <c r="D15">
        <v>1334957.327</v>
      </c>
    </row>
    <row r="16" spans="1:4" x14ac:dyDescent="0.25">
      <c r="A16" t="str">
        <f t="shared" si="0"/>
        <v>Barrios Unidos2015</v>
      </c>
      <c r="B16" t="s">
        <v>15</v>
      </c>
      <c r="C16">
        <v>2015</v>
      </c>
      <c r="D16">
        <v>1425333.9380379</v>
      </c>
    </row>
    <row r="17" spans="1:4" x14ac:dyDescent="0.25">
      <c r="A17" t="str">
        <f t="shared" si="0"/>
        <v>Barrios Unidos2016</v>
      </c>
      <c r="B17" t="s">
        <v>15</v>
      </c>
      <c r="C17">
        <v>2016</v>
      </c>
      <c r="D17">
        <v>1510283.8407449599</v>
      </c>
    </row>
    <row r="18" spans="1:4" x14ac:dyDescent="0.25">
      <c r="A18" t="str">
        <f t="shared" si="0"/>
        <v>Barrios Unidos2017</v>
      </c>
      <c r="B18" t="s">
        <v>15</v>
      </c>
      <c r="C18">
        <v>2017</v>
      </c>
      <c r="D18">
        <v>1650302.577</v>
      </c>
    </row>
    <row r="19" spans="1:4" x14ac:dyDescent="0.25">
      <c r="A19" t="str">
        <f t="shared" si="0"/>
        <v>Barrios Unidos2018</v>
      </c>
      <c r="B19" t="s">
        <v>15</v>
      </c>
      <c r="C19">
        <v>2018</v>
      </c>
      <c r="D19">
        <v>1704267.4712679</v>
      </c>
    </row>
    <row r="20" spans="1:4" x14ac:dyDescent="0.25">
      <c r="A20" t="str">
        <f t="shared" si="0"/>
        <v>Barrios Unidos2019</v>
      </c>
      <c r="B20" t="s">
        <v>15</v>
      </c>
      <c r="C20">
        <v>2019</v>
      </c>
      <c r="D20">
        <v>1769711.34216459</v>
      </c>
    </row>
    <row r="21" spans="1:4" x14ac:dyDescent="0.25">
      <c r="A21" t="str">
        <f t="shared" si="0"/>
        <v>Barrios Unidos2020</v>
      </c>
      <c r="B21" t="s">
        <v>15</v>
      </c>
      <c r="C21">
        <v>2020</v>
      </c>
      <c r="D21">
        <v>1796080.0411628401</v>
      </c>
    </row>
    <row r="22" spans="1:4" x14ac:dyDescent="0.25">
      <c r="A22" t="str">
        <f t="shared" si="0"/>
        <v>Barrios Unidos2021</v>
      </c>
      <c r="B22" t="s">
        <v>15</v>
      </c>
      <c r="C22">
        <v>2021</v>
      </c>
      <c r="D22">
        <v>1890553.851328</v>
      </c>
    </row>
    <row r="23" spans="1:4" x14ac:dyDescent="0.25">
      <c r="A23" t="str">
        <f t="shared" si="0"/>
        <v>Barrios Unidos2022</v>
      </c>
      <c r="B23" t="s">
        <v>15</v>
      </c>
      <c r="C23">
        <v>2022</v>
      </c>
      <c r="D23">
        <v>2127440.2488993998</v>
      </c>
    </row>
    <row r="24" spans="1:4" x14ac:dyDescent="0.25">
      <c r="A24" t="str">
        <f t="shared" si="0"/>
        <v>Barrios Unidos2023</v>
      </c>
      <c r="B24" t="s">
        <v>15</v>
      </c>
      <c r="C24">
        <v>2023</v>
      </c>
      <c r="D24">
        <v>2343375.4341626898</v>
      </c>
    </row>
    <row r="25" spans="1:4" x14ac:dyDescent="0.25">
      <c r="A25" t="str">
        <f t="shared" si="0"/>
        <v>Barrios Unidos2024</v>
      </c>
      <c r="B25" t="s">
        <v>15</v>
      </c>
      <c r="C25">
        <v>2024</v>
      </c>
      <c r="D25">
        <v>2465230.95673915</v>
      </c>
    </row>
    <row r="26" spans="1:4" x14ac:dyDescent="0.25">
      <c r="A26" t="str">
        <f t="shared" si="0"/>
        <v>Bosa2011</v>
      </c>
      <c r="B26" t="s">
        <v>9</v>
      </c>
      <c r="C26">
        <v>2011</v>
      </c>
      <c r="D26">
        <v>400623.39490000001</v>
      </c>
    </row>
    <row r="27" spans="1:4" x14ac:dyDescent="0.25">
      <c r="A27" t="str">
        <f t="shared" si="0"/>
        <v>Bosa2014</v>
      </c>
      <c r="B27" t="s">
        <v>9</v>
      </c>
      <c r="C27">
        <v>2014</v>
      </c>
      <c r="D27">
        <v>498088.38669999997</v>
      </c>
    </row>
    <row r="28" spans="1:4" x14ac:dyDescent="0.25">
      <c r="A28" t="str">
        <f t="shared" si="0"/>
        <v>Bosa2015</v>
      </c>
      <c r="B28" t="s">
        <v>9</v>
      </c>
      <c r="C28">
        <v>2015</v>
      </c>
      <c r="D28">
        <v>531808.97047959</v>
      </c>
    </row>
    <row r="29" spans="1:4" x14ac:dyDescent="0.25">
      <c r="A29" t="str">
        <f t="shared" si="0"/>
        <v>Bosa2016</v>
      </c>
      <c r="B29" t="s">
        <v>9</v>
      </c>
      <c r="C29">
        <v>2016</v>
      </c>
      <c r="D29">
        <v>563504.78512017406</v>
      </c>
    </row>
    <row r="30" spans="1:4" x14ac:dyDescent="0.25">
      <c r="A30" t="str">
        <f t="shared" si="0"/>
        <v>Bosa2017</v>
      </c>
      <c r="B30" t="s">
        <v>9</v>
      </c>
      <c r="C30">
        <v>2017</v>
      </c>
      <c r="D30">
        <v>678968.3027</v>
      </c>
    </row>
    <row r="31" spans="1:4" x14ac:dyDescent="0.25">
      <c r="A31" t="str">
        <f t="shared" si="0"/>
        <v>Bosa2018</v>
      </c>
      <c r="B31" t="s">
        <v>9</v>
      </c>
      <c r="C31">
        <v>2018</v>
      </c>
      <c r="D31">
        <v>701170.56619828998</v>
      </c>
    </row>
    <row r="32" spans="1:4" x14ac:dyDescent="0.25">
      <c r="A32" t="str">
        <f t="shared" si="0"/>
        <v>Bosa2019</v>
      </c>
      <c r="B32" t="s">
        <v>9</v>
      </c>
      <c r="C32">
        <v>2019</v>
      </c>
      <c r="D32">
        <v>728095.51594030403</v>
      </c>
    </row>
    <row r="33" spans="1:4" x14ac:dyDescent="0.25">
      <c r="A33" t="str">
        <f t="shared" si="0"/>
        <v>Bosa2020</v>
      </c>
      <c r="B33" t="s">
        <v>9</v>
      </c>
      <c r="C33">
        <v>2020</v>
      </c>
      <c r="D33">
        <v>738944.13912781503</v>
      </c>
    </row>
    <row r="34" spans="1:4" x14ac:dyDescent="0.25">
      <c r="A34" t="str">
        <f t="shared" si="0"/>
        <v>Bosa2021</v>
      </c>
      <c r="B34" t="s">
        <v>9</v>
      </c>
      <c r="C34">
        <v>2021</v>
      </c>
      <c r="D34">
        <v>777812.60084593797</v>
      </c>
    </row>
    <row r="35" spans="1:4" x14ac:dyDescent="0.25">
      <c r="A35" t="str">
        <f t="shared" si="0"/>
        <v>Bosa2022</v>
      </c>
      <c r="B35" t="s">
        <v>9</v>
      </c>
      <c r="C35">
        <v>2022</v>
      </c>
      <c r="D35">
        <v>875272.51973193395</v>
      </c>
    </row>
    <row r="36" spans="1:4" x14ac:dyDescent="0.25">
      <c r="A36" t="str">
        <f t="shared" si="0"/>
        <v>Bosa2023</v>
      </c>
      <c r="B36" t="s">
        <v>9</v>
      </c>
      <c r="C36">
        <v>2023</v>
      </c>
      <c r="D36">
        <v>964112.68048472505</v>
      </c>
    </row>
    <row r="37" spans="1:4" x14ac:dyDescent="0.25">
      <c r="A37" t="str">
        <f t="shared" si="0"/>
        <v>Bosa2024</v>
      </c>
      <c r="B37" t="s">
        <v>9</v>
      </c>
      <c r="C37">
        <v>2024</v>
      </c>
      <c r="D37">
        <v>1014246.53986993</v>
      </c>
    </row>
    <row r="38" spans="1:4" x14ac:dyDescent="0.25">
      <c r="A38" t="str">
        <f t="shared" si="0"/>
        <v>La Candelaria2011</v>
      </c>
      <c r="B38" t="s">
        <v>22</v>
      </c>
      <c r="C38">
        <v>2011</v>
      </c>
      <c r="D38">
        <v>636033.98030000005</v>
      </c>
    </row>
    <row r="39" spans="1:4" x14ac:dyDescent="0.25">
      <c r="A39" t="str">
        <f t="shared" si="0"/>
        <v>La Candelaria2014</v>
      </c>
      <c r="B39" t="s">
        <v>22</v>
      </c>
      <c r="C39">
        <v>2014</v>
      </c>
      <c r="D39">
        <v>730205.98080000002</v>
      </c>
    </row>
    <row r="40" spans="1:4" x14ac:dyDescent="0.25">
      <c r="A40" t="str">
        <f t="shared" si="0"/>
        <v>La Candelaria2015</v>
      </c>
      <c r="B40" t="s">
        <v>22</v>
      </c>
      <c r="C40">
        <v>2015</v>
      </c>
      <c r="D40">
        <v>779640.92570015998</v>
      </c>
    </row>
    <row r="41" spans="1:4" x14ac:dyDescent="0.25">
      <c r="A41" t="str">
        <f t="shared" si="0"/>
        <v>La Candelaria2016</v>
      </c>
      <c r="B41" t="s">
        <v>22</v>
      </c>
      <c r="C41">
        <v>2016</v>
      </c>
      <c r="D41">
        <v>826107.52487188997</v>
      </c>
    </row>
    <row r="42" spans="1:4" x14ac:dyDescent="0.25">
      <c r="A42" t="str">
        <f t="shared" si="0"/>
        <v>La Candelaria2017</v>
      </c>
      <c r="B42" t="s">
        <v>22</v>
      </c>
      <c r="C42">
        <v>2017</v>
      </c>
      <c r="D42">
        <v>1335213.2379999999</v>
      </c>
    </row>
    <row r="43" spans="1:4" x14ac:dyDescent="0.25">
      <c r="A43" t="str">
        <f t="shared" si="0"/>
        <v>La Candelaria2018</v>
      </c>
      <c r="B43" t="s">
        <v>22</v>
      </c>
      <c r="C43">
        <v>2018</v>
      </c>
      <c r="D43">
        <v>1378874.7108825999</v>
      </c>
    </row>
    <row r="44" spans="1:4" x14ac:dyDescent="0.25">
      <c r="A44" t="str">
        <f t="shared" si="0"/>
        <v>La Candelaria2019</v>
      </c>
      <c r="B44" t="s">
        <v>22</v>
      </c>
      <c r="C44">
        <v>2019</v>
      </c>
      <c r="D44">
        <v>1431823.4997804901</v>
      </c>
    </row>
    <row r="45" spans="1:4" x14ac:dyDescent="0.25">
      <c r="A45" t="str">
        <f t="shared" si="0"/>
        <v>La Candelaria2020</v>
      </c>
      <c r="B45" t="s">
        <v>22</v>
      </c>
      <c r="C45">
        <v>2020</v>
      </c>
      <c r="D45">
        <v>1453157.6699272201</v>
      </c>
    </row>
    <row r="46" spans="1:4" x14ac:dyDescent="0.25">
      <c r="A46" t="str">
        <f t="shared" si="0"/>
        <v>La Candelaria2021</v>
      </c>
      <c r="B46" t="s">
        <v>22</v>
      </c>
      <c r="C46">
        <v>2021</v>
      </c>
      <c r="D46">
        <v>1529593.76336539</v>
      </c>
    </row>
    <row r="47" spans="1:4" x14ac:dyDescent="0.25">
      <c r="A47" t="str">
        <f t="shared" si="0"/>
        <v>La Candelaria2022</v>
      </c>
      <c r="B47" t="s">
        <v>22</v>
      </c>
      <c r="C47">
        <v>2022</v>
      </c>
      <c r="D47">
        <v>1721251.8619150801</v>
      </c>
    </row>
    <row r="48" spans="1:4" x14ac:dyDescent="0.25">
      <c r="A48" t="str">
        <f t="shared" si="0"/>
        <v>La Candelaria2023</v>
      </c>
      <c r="B48" t="s">
        <v>22</v>
      </c>
      <c r="C48">
        <v>2023</v>
      </c>
      <c r="D48">
        <v>1895958.92589946</v>
      </c>
    </row>
    <row r="49" spans="1:4" x14ac:dyDescent="0.25">
      <c r="A49" t="str">
        <f t="shared" si="0"/>
        <v>La Candelaria2024</v>
      </c>
      <c r="B49" t="s">
        <v>22</v>
      </c>
      <c r="C49">
        <v>2024</v>
      </c>
      <c r="D49">
        <v>1994548.79004623</v>
      </c>
    </row>
    <row r="50" spans="1:4" x14ac:dyDescent="0.25">
      <c r="A50" t="str">
        <f t="shared" si="0"/>
        <v>Chapinero2011</v>
      </c>
      <c r="B50" t="s">
        <v>18</v>
      </c>
      <c r="C50">
        <v>2011</v>
      </c>
      <c r="D50">
        <v>991745.79749999999</v>
      </c>
    </row>
    <row r="51" spans="1:4" x14ac:dyDescent="0.25">
      <c r="A51" t="str">
        <f t="shared" si="0"/>
        <v>Chapinero2014</v>
      </c>
      <c r="B51" t="s">
        <v>18</v>
      </c>
      <c r="C51">
        <v>2014</v>
      </c>
      <c r="D51">
        <v>1173566.1810000001</v>
      </c>
    </row>
    <row r="52" spans="1:4" x14ac:dyDescent="0.25">
      <c r="A52" t="str">
        <f t="shared" si="0"/>
        <v>Chapinero2015</v>
      </c>
      <c r="B52" t="s">
        <v>18</v>
      </c>
      <c r="C52">
        <v>2015</v>
      </c>
      <c r="D52">
        <v>1253016.6114537001</v>
      </c>
    </row>
    <row r="53" spans="1:4" x14ac:dyDescent="0.25">
      <c r="A53" t="str">
        <f t="shared" si="0"/>
        <v>Chapinero2016</v>
      </c>
      <c r="B53" t="s">
        <v>18</v>
      </c>
      <c r="C53">
        <v>2016</v>
      </c>
      <c r="D53">
        <v>1327696.4014963401</v>
      </c>
    </row>
    <row r="54" spans="1:4" x14ac:dyDescent="0.25">
      <c r="A54" t="str">
        <f t="shared" si="0"/>
        <v>Chapinero2017</v>
      </c>
      <c r="B54" t="s">
        <v>18</v>
      </c>
      <c r="C54">
        <v>2017</v>
      </c>
      <c r="D54">
        <v>2766692.699</v>
      </c>
    </row>
    <row r="55" spans="1:4" x14ac:dyDescent="0.25">
      <c r="A55" t="str">
        <f t="shared" si="0"/>
        <v>Chapinero2018</v>
      </c>
      <c r="B55" t="s">
        <v>18</v>
      </c>
      <c r="C55">
        <v>2018</v>
      </c>
      <c r="D55">
        <v>2857163.5502573</v>
      </c>
    </row>
    <row r="56" spans="1:4" x14ac:dyDescent="0.25">
      <c r="A56" t="str">
        <f t="shared" si="0"/>
        <v>Chapinero2019</v>
      </c>
      <c r="B56" t="s">
        <v>18</v>
      </c>
      <c r="C56">
        <v>2019</v>
      </c>
      <c r="D56">
        <v>2966878.6305871801</v>
      </c>
    </row>
    <row r="57" spans="1:4" x14ac:dyDescent="0.25">
      <c r="A57" t="str">
        <f t="shared" si="0"/>
        <v>Chapinero2020</v>
      </c>
      <c r="B57" t="s">
        <v>18</v>
      </c>
      <c r="C57">
        <v>2020</v>
      </c>
      <c r="D57">
        <v>3011085.1221829299</v>
      </c>
    </row>
    <row r="58" spans="1:4" x14ac:dyDescent="0.25">
      <c r="A58" t="str">
        <f t="shared" si="0"/>
        <v>Chapinero2021</v>
      </c>
      <c r="B58" t="s">
        <v>18</v>
      </c>
      <c r="C58">
        <v>2021</v>
      </c>
      <c r="D58">
        <v>3169468.19960975</v>
      </c>
    </row>
    <row r="59" spans="1:4" x14ac:dyDescent="0.25">
      <c r="A59" t="str">
        <f t="shared" si="0"/>
        <v>Chapinero2022</v>
      </c>
      <c r="B59" t="s">
        <v>18</v>
      </c>
      <c r="C59">
        <v>2022</v>
      </c>
      <c r="D59">
        <v>3566602.5650208499</v>
      </c>
    </row>
    <row r="60" spans="1:4" x14ac:dyDescent="0.25">
      <c r="A60" t="str">
        <f t="shared" si="0"/>
        <v>Chapinero2023</v>
      </c>
      <c r="B60" t="s">
        <v>18</v>
      </c>
      <c r="C60">
        <v>2023</v>
      </c>
      <c r="D60">
        <v>3928612.72537047</v>
      </c>
    </row>
    <row r="61" spans="1:4" x14ac:dyDescent="0.25">
      <c r="A61" t="str">
        <f t="shared" si="0"/>
        <v>Chapinero2024</v>
      </c>
      <c r="B61" t="s">
        <v>18</v>
      </c>
      <c r="C61">
        <v>2024</v>
      </c>
      <c r="D61">
        <v>4132900.58708973</v>
      </c>
    </row>
    <row r="62" spans="1:4" x14ac:dyDescent="0.25">
      <c r="A62" t="str">
        <f t="shared" si="0"/>
        <v>Ciudad Bolí­var2011</v>
      </c>
      <c r="B62" t="s">
        <v>66</v>
      </c>
      <c r="C62">
        <v>2011</v>
      </c>
      <c r="D62">
        <v>3131554.6189999999</v>
      </c>
    </row>
    <row r="63" spans="1:4" x14ac:dyDescent="0.25">
      <c r="A63" t="str">
        <f t="shared" si="0"/>
        <v>Ciudad Bolí­var2014</v>
      </c>
      <c r="B63" t="s">
        <v>66</v>
      </c>
      <c r="C63">
        <v>2014</v>
      </c>
      <c r="D63">
        <v>3760582.787</v>
      </c>
    </row>
    <row r="64" spans="1:4" x14ac:dyDescent="0.25">
      <c r="A64" t="str">
        <f t="shared" si="0"/>
        <v>Ciudad Bolí­var2015</v>
      </c>
      <c r="B64" t="s">
        <v>66</v>
      </c>
      <c r="C64">
        <v>2015</v>
      </c>
      <c r="D64">
        <v>4015174.2416798999</v>
      </c>
    </row>
    <row r="65" spans="1:4" x14ac:dyDescent="0.25">
      <c r="A65" t="str">
        <f t="shared" si="0"/>
        <v>Ciudad Bolí­var2016</v>
      </c>
      <c r="B65" t="s">
        <v>66</v>
      </c>
      <c r="C65">
        <v>2016</v>
      </c>
      <c r="D65">
        <v>4254478.6264840197</v>
      </c>
    </row>
    <row r="66" spans="1:4" x14ac:dyDescent="0.25">
      <c r="A66" t="str">
        <f t="shared" si="0"/>
        <v>Ciudad Bolí­var2017</v>
      </c>
      <c r="B66" t="s">
        <v>66</v>
      </c>
      <c r="C66">
        <v>2017</v>
      </c>
      <c r="D66">
        <v>666384.7145</v>
      </c>
    </row>
    <row r="67" spans="1:4" x14ac:dyDescent="0.25">
      <c r="A67" t="str">
        <f t="shared" ref="A67:A130" si="1">B67&amp;C67</f>
        <v>Ciudad Bolí­var2018</v>
      </c>
      <c r="B67" t="s">
        <v>66</v>
      </c>
      <c r="C67">
        <v>2018</v>
      </c>
      <c r="D67">
        <v>688175.49466415006</v>
      </c>
    </row>
    <row r="68" spans="1:4" x14ac:dyDescent="0.25">
      <c r="A68" t="str">
        <f t="shared" si="1"/>
        <v>Ciudad Bolí­var2019</v>
      </c>
      <c r="B68" t="s">
        <v>66</v>
      </c>
      <c r="C68">
        <v>2019</v>
      </c>
      <c r="D68">
        <v>714601.43365925294</v>
      </c>
    </row>
    <row r="69" spans="1:4" x14ac:dyDescent="0.25">
      <c r="A69" t="str">
        <f t="shared" si="1"/>
        <v>Ciudad Bolí­var2020</v>
      </c>
      <c r="B69" t="s">
        <v>66</v>
      </c>
      <c r="C69">
        <v>2020</v>
      </c>
      <c r="D69">
        <v>725248.99502077606</v>
      </c>
    </row>
    <row r="70" spans="1:4" x14ac:dyDescent="0.25">
      <c r="A70" t="str">
        <f t="shared" si="1"/>
        <v>Ciudad Bolí­var2021</v>
      </c>
      <c r="B70" t="s">
        <v>66</v>
      </c>
      <c r="C70">
        <v>2021</v>
      </c>
      <c r="D70">
        <v>763397.09215886903</v>
      </c>
    </row>
    <row r="71" spans="1:4" x14ac:dyDescent="0.25">
      <c r="A71" t="str">
        <f t="shared" si="1"/>
        <v>Ciudad Bolí­var2022</v>
      </c>
      <c r="B71" t="s">
        <v>66</v>
      </c>
      <c r="C71">
        <v>2022</v>
      </c>
      <c r="D71">
        <v>859050.74780637503</v>
      </c>
    </row>
    <row r="72" spans="1:4" x14ac:dyDescent="0.25">
      <c r="A72" t="str">
        <f t="shared" si="1"/>
        <v>Ciudad Bolí­var2023</v>
      </c>
      <c r="B72" t="s">
        <v>66</v>
      </c>
      <c r="C72">
        <v>2023</v>
      </c>
      <c r="D72">
        <v>946244.39870872197</v>
      </c>
    </row>
    <row r="73" spans="1:4" x14ac:dyDescent="0.25">
      <c r="A73" t="str">
        <f t="shared" si="1"/>
        <v>Ciudad Bolí­var2024</v>
      </c>
      <c r="B73" t="s">
        <v>66</v>
      </c>
      <c r="C73">
        <v>2024</v>
      </c>
      <c r="D73">
        <v>995449.10744157596</v>
      </c>
    </row>
    <row r="74" spans="1:4" x14ac:dyDescent="0.25">
      <c r="A74" t="str">
        <f t="shared" si="1"/>
        <v>Engativá2011</v>
      </c>
      <c r="B74" t="s">
        <v>7</v>
      </c>
      <c r="C74">
        <v>2011</v>
      </c>
      <c r="D74">
        <v>353195.73619999998</v>
      </c>
    </row>
    <row r="75" spans="1:4" x14ac:dyDescent="0.25">
      <c r="A75" t="str">
        <f t="shared" si="1"/>
        <v>Engativá2014</v>
      </c>
      <c r="B75" t="s">
        <v>7</v>
      </c>
      <c r="C75">
        <v>2014</v>
      </c>
      <c r="D75">
        <v>449137.28610000003</v>
      </c>
    </row>
    <row r="76" spans="1:4" x14ac:dyDescent="0.25">
      <c r="A76" t="str">
        <f t="shared" si="1"/>
        <v>Engativá2015</v>
      </c>
      <c r="B76" t="s">
        <v>7</v>
      </c>
      <c r="C76">
        <v>2015</v>
      </c>
      <c r="D76">
        <v>479543.88036896999</v>
      </c>
    </row>
    <row r="77" spans="1:4" x14ac:dyDescent="0.25">
      <c r="A77" t="str">
        <f t="shared" si="1"/>
        <v>Engativá2016</v>
      </c>
      <c r="B77" t="s">
        <v>7</v>
      </c>
      <c r="C77">
        <v>2016</v>
      </c>
      <c r="D77">
        <v>508124.69563896098</v>
      </c>
    </row>
    <row r="78" spans="1:4" x14ac:dyDescent="0.25">
      <c r="A78" t="str">
        <f t="shared" si="1"/>
        <v>Engativá2017</v>
      </c>
      <c r="B78" t="s">
        <v>7</v>
      </c>
      <c r="C78">
        <v>2017</v>
      </c>
      <c r="D78">
        <v>1103347.557</v>
      </c>
    </row>
    <row r="79" spans="1:4" x14ac:dyDescent="0.25">
      <c r="A79" t="str">
        <f t="shared" si="1"/>
        <v>Engativá2018</v>
      </c>
      <c r="B79" t="s">
        <v>7</v>
      </c>
      <c r="C79">
        <v>2018</v>
      </c>
      <c r="D79">
        <v>1139427.0221138999</v>
      </c>
    </row>
    <row r="80" spans="1:4" x14ac:dyDescent="0.25">
      <c r="A80" t="str">
        <f t="shared" si="1"/>
        <v>Engativá2019</v>
      </c>
      <c r="B80" t="s">
        <v>7</v>
      </c>
      <c r="C80">
        <v>2019</v>
      </c>
      <c r="D80">
        <v>1183181.0197630699</v>
      </c>
    </row>
    <row r="81" spans="1:4" x14ac:dyDescent="0.25">
      <c r="A81" t="str">
        <f t="shared" si="1"/>
        <v>Engativá2020</v>
      </c>
      <c r="B81" t="s">
        <v>7</v>
      </c>
      <c r="C81">
        <v>2020</v>
      </c>
      <c r="D81">
        <v>1200810.41695754</v>
      </c>
    </row>
    <row r="82" spans="1:4" x14ac:dyDescent="0.25">
      <c r="A82" t="str">
        <f t="shared" si="1"/>
        <v>Engativá2021</v>
      </c>
      <c r="B82" t="s">
        <v>7</v>
      </c>
      <c r="C82">
        <v>2021</v>
      </c>
      <c r="D82">
        <v>1263973.0448895099</v>
      </c>
    </row>
    <row r="83" spans="1:4" x14ac:dyDescent="0.25">
      <c r="A83" t="str">
        <f t="shared" si="1"/>
        <v>Engativá2022</v>
      </c>
      <c r="B83" t="s">
        <v>7</v>
      </c>
      <c r="C83">
        <v>2022</v>
      </c>
      <c r="D83">
        <v>1422348.8674141699</v>
      </c>
    </row>
    <row r="84" spans="1:4" x14ac:dyDescent="0.25">
      <c r="A84" t="str">
        <f t="shared" si="1"/>
        <v>Engativá2023</v>
      </c>
      <c r="B84" t="s">
        <v>7</v>
      </c>
      <c r="C84">
        <v>2023</v>
      </c>
      <c r="D84">
        <v>1566717.2774567001</v>
      </c>
    </row>
    <row r="85" spans="1:4" x14ac:dyDescent="0.25">
      <c r="A85" t="str">
        <f t="shared" si="1"/>
        <v>Engativá2024</v>
      </c>
      <c r="B85" t="s">
        <v>7</v>
      </c>
      <c r="C85">
        <v>2024</v>
      </c>
      <c r="D85">
        <v>1648186.57588445</v>
      </c>
    </row>
    <row r="86" spans="1:4" x14ac:dyDescent="0.25">
      <c r="A86" t="str">
        <f t="shared" si="1"/>
        <v>Fontibón2011</v>
      </c>
      <c r="B86" t="s">
        <v>13</v>
      </c>
      <c r="C86">
        <v>2011</v>
      </c>
      <c r="D86">
        <v>800362.94709999999</v>
      </c>
    </row>
    <row r="87" spans="1:4" x14ac:dyDescent="0.25">
      <c r="A87" t="str">
        <f t="shared" si="1"/>
        <v>Fontibón2014</v>
      </c>
      <c r="B87" t="s">
        <v>13</v>
      </c>
      <c r="C87">
        <v>2014</v>
      </c>
      <c r="D87">
        <v>989776.64249999996</v>
      </c>
    </row>
    <row r="88" spans="1:4" x14ac:dyDescent="0.25">
      <c r="A88" t="str">
        <f t="shared" si="1"/>
        <v>Fontibón2015</v>
      </c>
      <c r="B88" t="s">
        <v>13</v>
      </c>
      <c r="C88">
        <v>2015</v>
      </c>
      <c r="D88">
        <v>1056784.5211972501</v>
      </c>
    </row>
    <row r="89" spans="1:4" x14ac:dyDescent="0.25">
      <c r="A89" t="str">
        <f t="shared" si="1"/>
        <v>Fontibón2016</v>
      </c>
      <c r="B89" t="s">
        <v>13</v>
      </c>
      <c r="C89">
        <v>2016</v>
      </c>
      <c r="D89">
        <v>1119768.8786606099</v>
      </c>
    </row>
    <row r="90" spans="1:4" x14ac:dyDescent="0.25">
      <c r="A90" t="str">
        <f t="shared" si="1"/>
        <v>Fontibón2017</v>
      </c>
      <c r="B90" t="s">
        <v>13</v>
      </c>
      <c r="C90">
        <v>2017</v>
      </c>
      <c r="D90">
        <v>1395651.4040000001</v>
      </c>
    </row>
    <row r="91" spans="1:4" x14ac:dyDescent="0.25">
      <c r="A91" t="str">
        <f t="shared" si="1"/>
        <v>Fontibón2018</v>
      </c>
      <c r="B91" t="s">
        <v>13</v>
      </c>
      <c r="C91">
        <v>2018</v>
      </c>
      <c r="D91">
        <v>1441289.2049108001</v>
      </c>
    </row>
    <row r="92" spans="1:4" x14ac:dyDescent="0.25">
      <c r="A92" t="str">
        <f t="shared" si="1"/>
        <v>Fontibón2019</v>
      </c>
      <c r="B92" t="s">
        <v>13</v>
      </c>
      <c r="C92">
        <v>2019</v>
      </c>
      <c r="D92">
        <v>1496634.71037937</v>
      </c>
    </row>
    <row r="93" spans="1:4" x14ac:dyDescent="0.25">
      <c r="A93" t="str">
        <f t="shared" si="1"/>
        <v>Fontibón2020</v>
      </c>
      <c r="B93" t="s">
        <v>13</v>
      </c>
      <c r="C93">
        <v>2020</v>
      </c>
      <c r="D93">
        <v>1518934.5675640299</v>
      </c>
    </row>
    <row r="94" spans="1:4" x14ac:dyDescent="0.25">
      <c r="A94" t="str">
        <f t="shared" si="1"/>
        <v>Fontibón2021</v>
      </c>
      <c r="B94" t="s">
        <v>13</v>
      </c>
      <c r="C94">
        <v>2021</v>
      </c>
      <c r="D94">
        <v>1598830.5258179</v>
      </c>
    </row>
    <row r="95" spans="1:4" x14ac:dyDescent="0.25">
      <c r="A95" t="str">
        <f t="shared" si="1"/>
        <v>Fontibón2022</v>
      </c>
      <c r="B95" t="s">
        <v>13</v>
      </c>
      <c r="C95">
        <v>2022</v>
      </c>
      <c r="D95">
        <v>1799163.9907028801</v>
      </c>
    </row>
    <row r="96" spans="1:4" x14ac:dyDescent="0.25">
      <c r="A96" t="str">
        <f t="shared" si="1"/>
        <v>Fontibón2023</v>
      </c>
      <c r="B96" t="s">
        <v>13</v>
      </c>
      <c r="C96">
        <v>2023</v>
      </c>
      <c r="D96">
        <v>1981779.13575922</v>
      </c>
    </row>
    <row r="97" spans="1:4" x14ac:dyDescent="0.25">
      <c r="A97" t="str">
        <f t="shared" si="1"/>
        <v>Fontibón2024</v>
      </c>
      <c r="B97" t="s">
        <v>13</v>
      </c>
      <c r="C97">
        <v>2024</v>
      </c>
      <c r="D97">
        <v>2084831.6508187</v>
      </c>
    </row>
    <row r="98" spans="1:4" x14ac:dyDescent="0.25">
      <c r="A98" t="str">
        <f t="shared" si="1"/>
        <v>Kennedy2011</v>
      </c>
      <c r="B98" t="s">
        <v>5</v>
      </c>
      <c r="C98">
        <v>2011</v>
      </c>
      <c r="D98">
        <v>1131066.594</v>
      </c>
    </row>
    <row r="99" spans="1:4" x14ac:dyDescent="0.25">
      <c r="A99" t="str">
        <f t="shared" si="1"/>
        <v>Kennedy2014</v>
      </c>
      <c r="B99" t="s">
        <v>5</v>
      </c>
      <c r="C99">
        <v>2014</v>
      </c>
      <c r="D99">
        <v>1236142.1669999999</v>
      </c>
    </row>
    <row r="100" spans="1:4" x14ac:dyDescent="0.25">
      <c r="A100" t="str">
        <f t="shared" si="1"/>
        <v>Kennedy2015</v>
      </c>
      <c r="B100" t="s">
        <v>5</v>
      </c>
      <c r="C100">
        <v>2015</v>
      </c>
      <c r="D100">
        <v>1319828.9917059001</v>
      </c>
    </row>
    <row r="101" spans="1:4" x14ac:dyDescent="0.25">
      <c r="A101" t="str">
        <f t="shared" si="1"/>
        <v>Kennedy2016</v>
      </c>
      <c r="B101" t="s">
        <v>5</v>
      </c>
      <c r="C101">
        <v>2016</v>
      </c>
      <c r="D101">
        <v>1398490.7996115701</v>
      </c>
    </row>
    <row r="102" spans="1:4" x14ac:dyDescent="0.25">
      <c r="A102" t="str">
        <f t="shared" si="1"/>
        <v>Kennedy2017</v>
      </c>
      <c r="B102" t="s">
        <v>5</v>
      </c>
      <c r="C102">
        <v>2017</v>
      </c>
      <c r="D102">
        <v>907997.27139999997</v>
      </c>
    </row>
    <row r="103" spans="1:4" x14ac:dyDescent="0.25">
      <c r="A103" t="str">
        <f t="shared" si="1"/>
        <v>Kennedy2018</v>
      </c>
      <c r="B103" t="s">
        <v>5</v>
      </c>
      <c r="C103">
        <v>2018</v>
      </c>
      <c r="D103">
        <v>937688.78217478003</v>
      </c>
    </row>
    <row r="104" spans="1:4" x14ac:dyDescent="0.25">
      <c r="A104" t="str">
        <f t="shared" si="1"/>
        <v>Kennedy2019</v>
      </c>
      <c r="B104" t="s">
        <v>5</v>
      </c>
      <c r="C104">
        <v>2019</v>
      </c>
      <c r="D104">
        <v>973696.03141029098</v>
      </c>
    </row>
    <row r="105" spans="1:4" x14ac:dyDescent="0.25">
      <c r="A105" t="str">
        <f t="shared" si="1"/>
        <v>Kennedy2020</v>
      </c>
      <c r="B105" t="s">
        <v>5</v>
      </c>
      <c r="C105">
        <v>2020</v>
      </c>
      <c r="D105">
        <v>988204.10227830498</v>
      </c>
    </row>
    <row r="106" spans="1:4" x14ac:dyDescent="0.25">
      <c r="A106" t="str">
        <f t="shared" si="1"/>
        <v>Kennedy2021</v>
      </c>
      <c r="B106" t="s">
        <v>5</v>
      </c>
      <c r="C106">
        <v>2021</v>
      </c>
      <c r="D106">
        <v>1040183.6380581399</v>
      </c>
    </row>
    <row r="107" spans="1:4" x14ac:dyDescent="0.25">
      <c r="A107" t="str">
        <f t="shared" si="1"/>
        <v>Kennedy2022</v>
      </c>
      <c r="B107" t="s">
        <v>5</v>
      </c>
      <c r="C107">
        <v>2022</v>
      </c>
      <c r="D107">
        <v>1170518.6479068301</v>
      </c>
    </row>
    <row r="108" spans="1:4" x14ac:dyDescent="0.25">
      <c r="A108" t="str">
        <f t="shared" si="1"/>
        <v>Kennedy2023</v>
      </c>
      <c r="B108" t="s">
        <v>5</v>
      </c>
      <c r="C108">
        <v>2023</v>
      </c>
      <c r="D108">
        <v>1289326.29066937</v>
      </c>
    </row>
    <row r="109" spans="1:4" x14ac:dyDescent="0.25">
      <c r="A109" t="str">
        <f t="shared" si="1"/>
        <v>Kennedy2024</v>
      </c>
      <c r="B109" t="s">
        <v>5</v>
      </c>
      <c r="C109">
        <v>2024</v>
      </c>
      <c r="D109">
        <v>1356371.2577841801</v>
      </c>
    </row>
    <row r="110" spans="1:4" x14ac:dyDescent="0.25">
      <c r="A110" t="str">
        <f t="shared" si="1"/>
        <v>Los Mártires2011</v>
      </c>
      <c r="B110" t="s">
        <v>21</v>
      </c>
      <c r="C110">
        <v>2011</v>
      </c>
      <c r="D110">
        <v>719068.89139999996</v>
      </c>
    </row>
    <row r="111" spans="1:4" x14ac:dyDescent="0.25">
      <c r="A111" t="str">
        <f t="shared" si="1"/>
        <v>Los Mártires2014</v>
      </c>
      <c r="B111" t="s">
        <v>21</v>
      </c>
      <c r="C111">
        <v>2014</v>
      </c>
      <c r="D111">
        <v>853422.25430000003</v>
      </c>
    </row>
    <row r="112" spans="1:4" x14ac:dyDescent="0.25">
      <c r="A112" t="str">
        <f t="shared" si="1"/>
        <v>Los Mártires2015</v>
      </c>
      <c r="B112" t="s">
        <v>21</v>
      </c>
      <c r="C112">
        <v>2015</v>
      </c>
      <c r="D112">
        <v>911198.94091610995</v>
      </c>
    </row>
    <row r="113" spans="1:4" x14ac:dyDescent="0.25">
      <c r="A113" t="str">
        <f t="shared" si="1"/>
        <v>Los Mártires2016</v>
      </c>
      <c r="B113" t="s">
        <v>21</v>
      </c>
      <c r="C113">
        <v>2016</v>
      </c>
      <c r="D113">
        <v>965506.39779471001</v>
      </c>
    </row>
    <row r="114" spans="1:4" x14ac:dyDescent="0.25">
      <c r="A114" t="str">
        <f t="shared" si="1"/>
        <v>Los Mártires2017</v>
      </c>
      <c r="B114" t="s">
        <v>21</v>
      </c>
      <c r="C114">
        <v>2017</v>
      </c>
      <c r="D114">
        <v>993702.69469999999</v>
      </c>
    </row>
    <row r="115" spans="1:4" x14ac:dyDescent="0.25">
      <c r="A115" t="str">
        <f t="shared" si="1"/>
        <v>Los Mártires2018</v>
      </c>
      <c r="B115" t="s">
        <v>21</v>
      </c>
      <c r="C115">
        <v>2018</v>
      </c>
      <c r="D115">
        <v>1026196.77281669</v>
      </c>
    </row>
    <row r="116" spans="1:4" x14ac:dyDescent="0.25">
      <c r="A116" t="str">
        <f t="shared" si="1"/>
        <v>Los Mártires2019</v>
      </c>
      <c r="B116" t="s">
        <v>21</v>
      </c>
      <c r="C116">
        <v>2019</v>
      </c>
      <c r="D116">
        <v>1065602.72889285</v>
      </c>
    </row>
    <row r="117" spans="1:4" x14ac:dyDescent="0.25">
      <c r="A117" t="str">
        <f t="shared" si="1"/>
        <v>Los Mártires2020</v>
      </c>
      <c r="B117" t="s">
        <v>21</v>
      </c>
      <c r="C117">
        <v>2020</v>
      </c>
      <c r="D117">
        <v>1081480.20955335</v>
      </c>
    </row>
    <row r="118" spans="1:4" x14ac:dyDescent="0.25">
      <c r="A118" t="str">
        <f t="shared" si="1"/>
        <v>Los Mártires2021</v>
      </c>
      <c r="B118" t="s">
        <v>21</v>
      </c>
      <c r="C118">
        <v>2021</v>
      </c>
      <c r="D118">
        <v>1138366.06857586</v>
      </c>
    </row>
    <row r="119" spans="1:4" x14ac:dyDescent="0.25">
      <c r="A119" t="str">
        <f t="shared" si="1"/>
        <v>Los Mártires2022</v>
      </c>
      <c r="B119" t="s">
        <v>21</v>
      </c>
      <c r="C119">
        <v>2022</v>
      </c>
      <c r="D119">
        <v>1281003.3369684201</v>
      </c>
    </row>
    <row r="120" spans="1:4" x14ac:dyDescent="0.25">
      <c r="A120" t="str">
        <f t="shared" si="1"/>
        <v>Los Mártires2023</v>
      </c>
      <c r="B120" t="s">
        <v>21</v>
      </c>
      <c r="C120">
        <v>2023</v>
      </c>
      <c r="D120">
        <v>1411025.1756707099</v>
      </c>
    </row>
    <row r="121" spans="1:4" x14ac:dyDescent="0.25">
      <c r="A121" t="str">
        <f t="shared" si="1"/>
        <v>Los Mártires2024</v>
      </c>
      <c r="B121" t="s">
        <v>21</v>
      </c>
      <c r="C121">
        <v>2024</v>
      </c>
      <c r="D121">
        <v>1484398.48480559</v>
      </c>
    </row>
    <row r="122" spans="1:4" x14ac:dyDescent="0.25">
      <c r="A122" t="str">
        <f t="shared" si="1"/>
        <v>Puente Aranda2011</v>
      </c>
      <c r="B122" t="s">
        <v>14</v>
      </c>
      <c r="C122">
        <v>2011</v>
      </c>
      <c r="D122">
        <v>781734.34990000003</v>
      </c>
    </row>
    <row r="123" spans="1:4" x14ac:dyDescent="0.25">
      <c r="A123" t="str">
        <f t="shared" si="1"/>
        <v>Puente Aranda2014</v>
      </c>
      <c r="B123" t="s">
        <v>14</v>
      </c>
      <c r="C123">
        <v>2014</v>
      </c>
      <c r="D123">
        <v>884991.05059999996</v>
      </c>
    </row>
    <row r="124" spans="1:4" x14ac:dyDescent="0.25">
      <c r="A124" t="str">
        <f t="shared" si="1"/>
        <v>Puente Aranda2015</v>
      </c>
      <c r="B124" t="s">
        <v>14</v>
      </c>
      <c r="C124">
        <v>2015</v>
      </c>
      <c r="D124">
        <v>944904.94472561998</v>
      </c>
    </row>
    <row r="125" spans="1:4" x14ac:dyDescent="0.25">
      <c r="A125" t="str">
        <f t="shared" si="1"/>
        <v>Puente Aranda2016</v>
      </c>
      <c r="B125" t="s">
        <v>14</v>
      </c>
      <c r="C125">
        <v>2016</v>
      </c>
      <c r="D125">
        <v>1001221.27943127</v>
      </c>
    </row>
    <row r="126" spans="1:4" x14ac:dyDescent="0.25">
      <c r="A126" t="str">
        <f t="shared" si="1"/>
        <v>Puente Aranda2017</v>
      </c>
      <c r="B126" t="s">
        <v>14</v>
      </c>
      <c r="C126">
        <v>2017</v>
      </c>
      <c r="D126">
        <v>875303.53579999995</v>
      </c>
    </row>
    <row r="127" spans="1:4" x14ac:dyDescent="0.25">
      <c r="A127" t="str">
        <f t="shared" si="1"/>
        <v>Puente Aranda2018</v>
      </c>
      <c r="B127" t="s">
        <v>14</v>
      </c>
      <c r="C127">
        <v>2018</v>
      </c>
      <c r="D127">
        <v>903925.96142066002</v>
      </c>
    </row>
    <row r="128" spans="1:4" x14ac:dyDescent="0.25">
      <c r="A128" t="str">
        <f t="shared" si="1"/>
        <v>Puente Aranda2019</v>
      </c>
      <c r="B128" t="s">
        <v>14</v>
      </c>
      <c r="C128">
        <v>2019</v>
      </c>
      <c r="D128">
        <v>938636.71833921305</v>
      </c>
    </row>
    <row r="129" spans="1:4" x14ac:dyDescent="0.25">
      <c r="A129" t="str">
        <f t="shared" si="1"/>
        <v>Puente Aranda2020</v>
      </c>
      <c r="B129" t="s">
        <v>14</v>
      </c>
      <c r="C129">
        <v>2020</v>
      </c>
      <c r="D129">
        <v>952622.40544246696</v>
      </c>
    </row>
    <row r="130" spans="1:4" x14ac:dyDescent="0.25">
      <c r="A130" t="str">
        <f t="shared" si="1"/>
        <v>Puente Aranda2021</v>
      </c>
      <c r="B130" t="s">
        <v>14</v>
      </c>
      <c r="C130">
        <v>2021</v>
      </c>
      <c r="D130">
        <v>1002730.34396874</v>
      </c>
    </row>
    <row r="131" spans="1:4" x14ac:dyDescent="0.25">
      <c r="A131" t="str">
        <f t="shared" ref="A131:A194" si="2">B131&amp;C131</f>
        <v>Puente Aranda2022</v>
      </c>
      <c r="B131" t="s">
        <v>14</v>
      </c>
      <c r="C131">
        <v>2022</v>
      </c>
      <c r="D131">
        <v>1128372.4560680201</v>
      </c>
    </row>
    <row r="132" spans="1:4" x14ac:dyDescent="0.25">
      <c r="A132" t="str">
        <f t="shared" si="2"/>
        <v>Puente Aranda2023</v>
      </c>
      <c r="B132" t="s">
        <v>14</v>
      </c>
      <c r="C132">
        <v>2023</v>
      </c>
      <c r="D132">
        <v>1242902.2603589301</v>
      </c>
    </row>
    <row r="133" spans="1:4" x14ac:dyDescent="0.25">
      <c r="A133" t="str">
        <f t="shared" si="2"/>
        <v>Puente Aranda2024</v>
      </c>
      <c r="B133" t="s">
        <v>14</v>
      </c>
      <c r="C133">
        <v>2024</v>
      </c>
      <c r="D133">
        <v>1307533.17789759</v>
      </c>
    </row>
    <row r="134" spans="1:4" x14ac:dyDescent="0.25">
      <c r="A134" t="str">
        <f t="shared" si="2"/>
        <v>Rafael Uribe2011</v>
      </c>
      <c r="B134" t="s">
        <v>29</v>
      </c>
      <c r="C134">
        <v>2011</v>
      </c>
      <c r="D134">
        <v>462660.34989999997</v>
      </c>
    </row>
    <row r="135" spans="1:4" x14ac:dyDescent="0.25">
      <c r="A135" t="str">
        <f t="shared" si="2"/>
        <v>Rafael Uribe2014</v>
      </c>
      <c r="B135" t="s">
        <v>29</v>
      </c>
      <c r="C135">
        <v>2014</v>
      </c>
      <c r="D135">
        <v>601451.04870000004</v>
      </c>
    </row>
    <row r="136" spans="1:4" x14ac:dyDescent="0.25">
      <c r="A136" t="str">
        <f t="shared" si="2"/>
        <v>Rafael Uribe2015</v>
      </c>
      <c r="B136" t="s">
        <v>29</v>
      </c>
      <c r="C136">
        <v>2015</v>
      </c>
      <c r="D136">
        <v>642169.28469699004</v>
      </c>
    </row>
    <row r="137" spans="1:4" x14ac:dyDescent="0.25">
      <c r="A137" t="str">
        <f t="shared" si="2"/>
        <v>Rafael Uribe2016</v>
      </c>
      <c r="B137" t="s">
        <v>29</v>
      </c>
      <c r="C137">
        <v>2016</v>
      </c>
      <c r="D137">
        <v>680442.57406493102</v>
      </c>
    </row>
    <row r="138" spans="1:4" x14ac:dyDescent="0.25">
      <c r="A138" t="str">
        <f t="shared" si="2"/>
        <v>Rafael Uribe2017</v>
      </c>
      <c r="B138" t="s">
        <v>29</v>
      </c>
      <c r="C138">
        <v>2017</v>
      </c>
      <c r="D138">
        <v>760153.03830000001</v>
      </c>
    </row>
    <row r="139" spans="1:4" x14ac:dyDescent="0.25">
      <c r="A139" t="str">
        <f t="shared" si="2"/>
        <v>Rafael Uribe2018</v>
      </c>
      <c r="B139" t="s">
        <v>29</v>
      </c>
      <c r="C139">
        <v>2018</v>
      </c>
      <c r="D139">
        <v>785010.04265240999</v>
      </c>
    </row>
    <row r="140" spans="1:4" x14ac:dyDescent="0.25">
      <c r="A140" t="str">
        <f t="shared" si="2"/>
        <v>Rafael Uribe2019</v>
      </c>
      <c r="B140" t="s">
        <v>29</v>
      </c>
      <c r="C140">
        <v>2019</v>
      </c>
      <c r="D140">
        <v>815154.428290262</v>
      </c>
    </row>
    <row r="141" spans="1:4" x14ac:dyDescent="0.25">
      <c r="A141" t="str">
        <f t="shared" si="2"/>
        <v>Rafael Uribe2020</v>
      </c>
      <c r="B141" t="s">
        <v>29</v>
      </c>
      <c r="C141">
        <v>2020</v>
      </c>
      <c r="D141">
        <v>827300.22927178699</v>
      </c>
    </row>
    <row r="142" spans="1:4" x14ac:dyDescent="0.25">
      <c r="A142" t="str">
        <f t="shared" si="2"/>
        <v>Rafael Uribe2021</v>
      </c>
      <c r="B142" t="s">
        <v>29</v>
      </c>
      <c r="C142">
        <v>2021</v>
      </c>
      <c r="D142">
        <v>870816.22133148299</v>
      </c>
    </row>
    <row r="143" spans="1:4" x14ac:dyDescent="0.25">
      <c r="A143" t="str">
        <f t="shared" si="2"/>
        <v>Rafael Uribe2022</v>
      </c>
      <c r="B143" t="s">
        <v>29</v>
      </c>
      <c r="C143">
        <v>2022</v>
      </c>
      <c r="D143">
        <v>979929.49386431801</v>
      </c>
    </row>
    <row r="144" spans="1:4" x14ac:dyDescent="0.25">
      <c r="A144" t="str">
        <f t="shared" si="2"/>
        <v>Rafael Uribe2023</v>
      </c>
      <c r="B144" t="s">
        <v>29</v>
      </c>
      <c r="C144">
        <v>2023</v>
      </c>
      <c r="D144">
        <v>1079392.33749155</v>
      </c>
    </row>
    <row r="145" spans="1:4" x14ac:dyDescent="0.25">
      <c r="A145" t="str">
        <f t="shared" si="2"/>
        <v>Rafael Uribe2024</v>
      </c>
      <c r="B145" t="s">
        <v>29</v>
      </c>
      <c r="C145">
        <v>2024</v>
      </c>
      <c r="D145">
        <v>1135520.73904111</v>
      </c>
    </row>
    <row r="146" spans="1:4" x14ac:dyDescent="0.25">
      <c r="A146" t="str">
        <f t="shared" si="2"/>
        <v>San Cristóbal2011</v>
      </c>
      <c r="B146" t="s">
        <v>11</v>
      </c>
      <c r="C146">
        <v>2011</v>
      </c>
      <c r="D146">
        <v>381850.20439999999</v>
      </c>
    </row>
    <row r="147" spans="1:4" x14ac:dyDescent="0.25">
      <c r="A147" t="str">
        <f t="shared" si="2"/>
        <v>San Cristóbal2014</v>
      </c>
      <c r="B147" t="s">
        <v>11</v>
      </c>
      <c r="C147">
        <v>2014</v>
      </c>
      <c r="D147">
        <v>531441.37849999999</v>
      </c>
    </row>
    <row r="148" spans="1:4" x14ac:dyDescent="0.25">
      <c r="A148" t="str">
        <f t="shared" si="2"/>
        <v>San Cristóbal2015</v>
      </c>
      <c r="B148" t="s">
        <v>11</v>
      </c>
      <c r="C148">
        <v>2015</v>
      </c>
      <c r="D148">
        <v>567419.95982444996</v>
      </c>
    </row>
    <row r="149" spans="1:4" x14ac:dyDescent="0.25">
      <c r="A149" t="str">
        <f t="shared" si="2"/>
        <v>San Cristóbal2016</v>
      </c>
      <c r="B149" t="s">
        <v>11</v>
      </c>
      <c r="C149">
        <v>2016</v>
      </c>
      <c r="D149">
        <v>601238.18942998699</v>
      </c>
    </row>
    <row r="150" spans="1:4" x14ac:dyDescent="0.25">
      <c r="A150" t="str">
        <f t="shared" si="2"/>
        <v>San Cristóbal2017</v>
      </c>
      <c r="B150" t="s">
        <v>11</v>
      </c>
      <c r="C150">
        <v>2017</v>
      </c>
      <c r="D150">
        <v>711523.39870000002</v>
      </c>
    </row>
    <row r="151" spans="1:4" x14ac:dyDescent="0.25">
      <c r="A151" t="str">
        <f t="shared" si="2"/>
        <v>San Cristóbal2018</v>
      </c>
      <c r="B151" t="s">
        <v>11</v>
      </c>
      <c r="C151">
        <v>2018</v>
      </c>
      <c r="D151">
        <v>734790.21383748995</v>
      </c>
    </row>
    <row r="152" spans="1:4" x14ac:dyDescent="0.25">
      <c r="A152" t="str">
        <f t="shared" si="2"/>
        <v>San Cristóbal2019</v>
      </c>
      <c r="B152" t="s">
        <v>11</v>
      </c>
      <c r="C152">
        <v>2019</v>
      </c>
      <c r="D152">
        <v>763006.15804885002</v>
      </c>
    </row>
    <row r="153" spans="1:4" x14ac:dyDescent="0.25">
      <c r="A153" t="str">
        <f t="shared" si="2"/>
        <v>San Cristóbal2020</v>
      </c>
      <c r="B153" t="s">
        <v>11</v>
      </c>
      <c r="C153">
        <v>2020</v>
      </c>
      <c r="D153">
        <v>774374.94980377704</v>
      </c>
    </row>
    <row r="154" spans="1:4" x14ac:dyDescent="0.25">
      <c r="A154" t="str">
        <f t="shared" si="2"/>
        <v>San Cristóbal2021</v>
      </c>
      <c r="B154" t="s">
        <v>11</v>
      </c>
      <c r="C154">
        <v>2021</v>
      </c>
      <c r="D154">
        <v>815107.072163456</v>
      </c>
    </row>
    <row r="155" spans="1:4" x14ac:dyDescent="0.25">
      <c r="A155" t="str">
        <f t="shared" si="2"/>
        <v>San Cristóbal2022</v>
      </c>
      <c r="B155" t="s">
        <v>11</v>
      </c>
      <c r="C155">
        <v>2022</v>
      </c>
      <c r="D155">
        <v>917239.98830553703</v>
      </c>
    </row>
    <row r="156" spans="1:4" x14ac:dyDescent="0.25">
      <c r="A156" t="str">
        <f t="shared" si="2"/>
        <v>San Cristóbal2023</v>
      </c>
      <c r="B156" t="s">
        <v>11</v>
      </c>
      <c r="C156">
        <v>2023</v>
      </c>
      <c r="D156">
        <v>1010339.84711855</v>
      </c>
    </row>
    <row r="157" spans="1:4" x14ac:dyDescent="0.25">
      <c r="A157" t="str">
        <f t="shared" si="2"/>
        <v>San Cristóbal2024</v>
      </c>
      <c r="B157" t="s">
        <v>11</v>
      </c>
      <c r="C157">
        <v>2024</v>
      </c>
      <c r="D157">
        <v>1062877.5191687101</v>
      </c>
    </row>
    <row r="158" spans="1:4" x14ac:dyDescent="0.25">
      <c r="A158" t="str">
        <f t="shared" si="2"/>
        <v>Santa Fe2011</v>
      </c>
      <c r="B158" t="s">
        <v>20</v>
      </c>
      <c r="C158">
        <v>2011</v>
      </c>
      <c r="D158">
        <v>810647.07030000002</v>
      </c>
    </row>
    <row r="159" spans="1:4" x14ac:dyDescent="0.25">
      <c r="A159" t="str">
        <f t="shared" si="2"/>
        <v>Santa Fe2014</v>
      </c>
      <c r="B159" t="s">
        <v>20</v>
      </c>
      <c r="C159">
        <v>2014</v>
      </c>
      <c r="D159">
        <v>738810.99719999998</v>
      </c>
    </row>
    <row r="160" spans="1:4" x14ac:dyDescent="0.25">
      <c r="A160" t="str">
        <f t="shared" si="2"/>
        <v>Santa Fe2015</v>
      </c>
      <c r="B160" t="s">
        <v>20</v>
      </c>
      <c r="C160">
        <v>2015</v>
      </c>
      <c r="D160">
        <v>788828.50171044003</v>
      </c>
    </row>
    <row r="161" spans="1:4" x14ac:dyDescent="0.25">
      <c r="A161" t="str">
        <f t="shared" si="2"/>
        <v>Santa Fe2016</v>
      </c>
      <c r="B161" t="s">
        <v>20</v>
      </c>
      <c r="C161">
        <v>2016</v>
      </c>
      <c r="D161">
        <v>835842.680412382</v>
      </c>
    </row>
    <row r="162" spans="1:4" x14ac:dyDescent="0.25">
      <c r="A162" t="str">
        <f t="shared" si="2"/>
        <v>Santa Fe2017</v>
      </c>
      <c r="B162" t="s">
        <v>20</v>
      </c>
      <c r="C162">
        <v>2017</v>
      </c>
      <c r="D162">
        <v>1040477.868</v>
      </c>
    </row>
    <row r="163" spans="1:4" x14ac:dyDescent="0.25">
      <c r="A163" t="str">
        <f t="shared" si="2"/>
        <v>Santa Fe2018</v>
      </c>
      <c r="B163" t="s">
        <v>20</v>
      </c>
      <c r="C163">
        <v>2018</v>
      </c>
      <c r="D163">
        <v>1074501.4942836</v>
      </c>
    </row>
    <row r="164" spans="1:4" x14ac:dyDescent="0.25">
      <c r="A164" t="str">
        <f t="shared" si="2"/>
        <v>Santa Fe2019</v>
      </c>
      <c r="B164" t="s">
        <v>20</v>
      </c>
      <c r="C164">
        <v>2019</v>
      </c>
      <c r="D164">
        <v>1115762.3516640901</v>
      </c>
    </row>
    <row r="165" spans="1:4" x14ac:dyDescent="0.25">
      <c r="A165" t="str">
        <f t="shared" si="2"/>
        <v>Santa Fe2020</v>
      </c>
      <c r="B165" t="s">
        <v>20</v>
      </c>
      <c r="C165">
        <v>2020</v>
      </c>
      <c r="D165">
        <v>1132387.2107038901</v>
      </c>
    </row>
    <row r="166" spans="1:4" x14ac:dyDescent="0.25">
      <c r="A166" t="str">
        <f t="shared" si="2"/>
        <v>Santa Fe2021</v>
      </c>
      <c r="B166" t="s">
        <v>20</v>
      </c>
      <c r="C166">
        <v>2021</v>
      </c>
      <c r="D166">
        <v>1191950.77798691</v>
      </c>
    </row>
    <row r="167" spans="1:4" x14ac:dyDescent="0.25">
      <c r="A167" t="str">
        <f t="shared" si="2"/>
        <v>Santa Fe2022</v>
      </c>
      <c r="B167" t="s">
        <v>20</v>
      </c>
      <c r="C167">
        <v>2022</v>
      </c>
      <c r="D167">
        <v>1341302.2104686699</v>
      </c>
    </row>
    <row r="168" spans="1:4" x14ac:dyDescent="0.25">
      <c r="A168" t="str">
        <f t="shared" si="2"/>
        <v>Santa Fe2023</v>
      </c>
      <c r="B168" t="s">
        <v>20</v>
      </c>
      <c r="C168">
        <v>2023</v>
      </c>
      <c r="D168">
        <v>1477444.3848312399</v>
      </c>
    </row>
    <row r="169" spans="1:4" x14ac:dyDescent="0.25">
      <c r="A169" t="str">
        <f t="shared" si="2"/>
        <v>Santa Fe2024</v>
      </c>
      <c r="B169" t="s">
        <v>20</v>
      </c>
      <c r="C169">
        <v>2024</v>
      </c>
      <c r="D169">
        <v>1554271.4928424601</v>
      </c>
    </row>
    <row r="170" spans="1:4" x14ac:dyDescent="0.25">
      <c r="A170" t="str">
        <f t="shared" si="2"/>
        <v>Suba2011</v>
      </c>
      <c r="B170" t="s">
        <v>6</v>
      </c>
      <c r="C170">
        <v>2011</v>
      </c>
      <c r="D170">
        <v>1046696.329</v>
      </c>
    </row>
    <row r="171" spans="1:4" x14ac:dyDescent="0.25">
      <c r="A171" t="str">
        <f t="shared" si="2"/>
        <v>Suba2014</v>
      </c>
      <c r="B171" t="s">
        <v>6</v>
      </c>
      <c r="C171">
        <v>2014</v>
      </c>
      <c r="D171">
        <v>1347226.453</v>
      </c>
    </row>
    <row r="172" spans="1:4" x14ac:dyDescent="0.25">
      <c r="A172" t="str">
        <f t="shared" si="2"/>
        <v>Suba2015</v>
      </c>
      <c r="B172" t="s">
        <v>6</v>
      </c>
      <c r="C172">
        <v>2015</v>
      </c>
      <c r="D172">
        <v>1438433.6838680999</v>
      </c>
    </row>
    <row r="173" spans="1:4" x14ac:dyDescent="0.25">
      <c r="A173" t="str">
        <f t="shared" si="2"/>
        <v>Suba2016</v>
      </c>
      <c r="B173" t="s">
        <v>6</v>
      </c>
      <c r="C173">
        <v>2016</v>
      </c>
      <c r="D173">
        <v>1524164.33142664</v>
      </c>
    </row>
    <row r="174" spans="1:4" x14ac:dyDescent="0.25">
      <c r="A174" t="str">
        <f t="shared" si="2"/>
        <v>Suba2017</v>
      </c>
      <c r="B174" t="s">
        <v>6</v>
      </c>
      <c r="C174">
        <v>2017</v>
      </c>
      <c r="D174">
        <v>1492605.895</v>
      </c>
    </row>
    <row r="175" spans="1:4" x14ac:dyDescent="0.25">
      <c r="A175" t="str">
        <f t="shared" si="2"/>
        <v>Suba2018</v>
      </c>
      <c r="B175" t="s">
        <v>6</v>
      </c>
      <c r="C175">
        <v>2018</v>
      </c>
      <c r="D175">
        <v>1541414.1077665</v>
      </c>
    </row>
    <row r="176" spans="1:4" x14ac:dyDescent="0.25">
      <c r="A176" t="str">
        <f t="shared" si="2"/>
        <v>Suba2019</v>
      </c>
      <c r="B176" t="s">
        <v>6</v>
      </c>
      <c r="C176">
        <v>2019</v>
      </c>
      <c r="D176">
        <v>1600604.40950473</v>
      </c>
    </row>
    <row r="177" spans="1:4" x14ac:dyDescent="0.25">
      <c r="A177" t="str">
        <f t="shared" si="2"/>
        <v>Suba2020</v>
      </c>
      <c r="B177" t="s">
        <v>6</v>
      </c>
      <c r="C177">
        <v>2020</v>
      </c>
      <c r="D177">
        <v>1624453.4152063499</v>
      </c>
    </row>
    <row r="178" spans="1:4" x14ac:dyDescent="0.25">
      <c r="A178" t="str">
        <f t="shared" si="2"/>
        <v>Suba2021</v>
      </c>
      <c r="B178" t="s">
        <v>6</v>
      </c>
      <c r="C178">
        <v>2021</v>
      </c>
      <c r="D178">
        <v>1709899.66484621</v>
      </c>
    </row>
    <row r="179" spans="1:4" x14ac:dyDescent="0.25">
      <c r="A179" t="str">
        <f t="shared" si="2"/>
        <v>Suba2022</v>
      </c>
      <c r="B179" t="s">
        <v>6</v>
      </c>
      <c r="C179">
        <v>2022</v>
      </c>
      <c r="D179">
        <v>1924150.09285144</v>
      </c>
    </row>
    <row r="180" spans="1:4" x14ac:dyDescent="0.25">
      <c r="A180" t="str">
        <f t="shared" si="2"/>
        <v>Suba2023</v>
      </c>
      <c r="B180" t="s">
        <v>6</v>
      </c>
      <c r="C180">
        <v>2023</v>
      </c>
      <c r="D180">
        <v>2119451.3272758601</v>
      </c>
    </row>
    <row r="181" spans="1:4" x14ac:dyDescent="0.25">
      <c r="A181" t="str">
        <f t="shared" si="2"/>
        <v>Suba2024</v>
      </c>
      <c r="B181" t="s">
        <v>6</v>
      </c>
      <c r="C181">
        <v>2024</v>
      </c>
      <c r="D181">
        <v>2229662.7962941998</v>
      </c>
    </row>
    <row r="182" spans="1:4" x14ac:dyDescent="0.25">
      <c r="A182" t="str">
        <f t="shared" si="2"/>
        <v>Teusaquillo2011</v>
      </c>
      <c r="B182" t="s">
        <v>17</v>
      </c>
      <c r="C182">
        <v>2011</v>
      </c>
      <c r="D182">
        <v>2058523.5530000001</v>
      </c>
    </row>
    <row r="183" spans="1:4" x14ac:dyDescent="0.25">
      <c r="A183" t="str">
        <f t="shared" si="2"/>
        <v>Teusaquillo2014</v>
      </c>
      <c r="B183" t="s">
        <v>17</v>
      </c>
      <c r="C183">
        <v>2014</v>
      </c>
      <c r="D183">
        <v>2436551.5260000001</v>
      </c>
    </row>
    <row r="184" spans="1:4" x14ac:dyDescent="0.25">
      <c r="A184" t="str">
        <f t="shared" si="2"/>
        <v>Teusaquillo2015</v>
      </c>
      <c r="B184" t="s">
        <v>17</v>
      </c>
      <c r="C184">
        <v>2015</v>
      </c>
      <c r="D184">
        <v>2601506.0643102</v>
      </c>
    </row>
    <row r="185" spans="1:4" x14ac:dyDescent="0.25">
      <c r="A185" t="str">
        <f t="shared" si="2"/>
        <v>Teusaquillo2016</v>
      </c>
      <c r="B185" t="s">
        <v>17</v>
      </c>
      <c r="C185">
        <v>2016</v>
      </c>
      <c r="D185">
        <v>2756555.8257430899</v>
      </c>
    </row>
    <row r="186" spans="1:4" x14ac:dyDescent="0.25">
      <c r="A186" t="str">
        <f t="shared" si="2"/>
        <v>Teusaquillo2017</v>
      </c>
      <c r="B186" t="s">
        <v>17</v>
      </c>
      <c r="C186">
        <v>2017</v>
      </c>
      <c r="D186">
        <v>2825049.5649999999</v>
      </c>
    </row>
    <row r="187" spans="1:4" x14ac:dyDescent="0.25">
      <c r="A187" t="str">
        <f t="shared" si="2"/>
        <v>Teusaquillo2018</v>
      </c>
      <c r="B187" t="s">
        <v>17</v>
      </c>
      <c r="C187">
        <v>2018</v>
      </c>
      <c r="D187">
        <v>2917428.6857754998</v>
      </c>
    </row>
    <row r="188" spans="1:4" x14ac:dyDescent="0.25">
      <c r="A188" t="str">
        <f t="shared" si="2"/>
        <v>Teusaquillo2019</v>
      </c>
      <c r="B188" t="s">
        <v>17</v>
      </c>
      <c r="C188">
        <v>2019</v>
      </c>
      <c r="D188">
        <v>3029457.9473092798</v>
      </c>
    </row>
    <row r="189" spans="1:4" x14ac:dyDescent="0.25">
      <c r="A189" t="str">
        <f t="shared" si="2"/>
        <v>Teusaquillo2020</v>
      </c>
      <c r="B189" t="s">
        <v>17</v>
      </c>
      <c r="C189">
        <v>2020</v>
      </c>
      <c r="D189">
        <v>3074596.87072419</v>
      </c>
    </row>
    <row r="190" spans="1:4" x14ac:dyDescent="0.25">
      <c r="A190" t="str">
        <f t="shared" si="2"/>
        <v>Teusaquillo2021</v>
      </c>
      <c r="B190" t="s">
        <v>17</v>
      </c>
      <c r="C190">
        <v>2021</v>
      </c>
      <c r="D190">
        <v>3236320.6661242801</v>
      </c>
    </row>
    <row r="191" spans="1:4" x14ac:dyDescent="0.25">
      <c r="A191" t="str">
        <f t="shared" si="2"/>
        <v>Teusaquillo2022</v>
      </c>
      <c r="B191" t="s">
        <v>17</v>
      </c>
      <c r="C191">
        <v>2022</v>
      </c>
      <c r="D191">
        <v>3641831.6455896501</v>
      </c>
    </row>
    <row r="192" spans="1:4" x14ac:dyDescent="0.25">
      <c r="A192" t="str">
        <f t="shared" si="2"/>
        <v>Teusaquillo2023</v>
      </c>
      <c r="B192" t="s">
        <v>17</v>
      </c>
      <c r="C192">
        <v>2023</v>
      </c>
      <c r="D192">
        <v>4011477.5576169998</v>
      </c>
    </row>
    <row r="193" spans="1:4" x14ac:dyDescent="0.25">
      <c r="A193" t="str">
        <f t="shared" si="2"/>
        <v>Teusaquillo2024</v>
      </c>
      <c r="B193" t="s">
        <v>17</v>
      </c>
      <c r="C193">
        <v>2024</v>
      </c>
      <c r="D193">
        <v>4220074.39061308</v>
      </c>
    </row>
    <row r="194" spans="1:4" x14ac:dyDescent="0.25">
      <c r="A194" t="str">
        <f t="shared" si="2"/>
        <v>Tunjuelito2011</v>
      </c>
      <c r="B194" t="s">
        <v>16</v>
      </c>
      <c r="C194">
        <v>2011</v>
      </c>
      <c r="D194">
        <v>542789.88600000006</v>
      </c>
    </row>
    <row r="195" spans="1:4" x14ac:dyDescent="0.25">
      <c r="A195" t="str">
        <f t="shared" ref="A195:A241" si="3">B195&amp;C195</f>
        <v>Tunjuelito2014</v>
      </c>
      <c r="B195" t="s">
        <v>16</v>
      </c>
      <c r="C195">
        <v>2014</v>
      </c>
      <c r="D195">
        <v>692148.61930000002</v>
      </c>
    </row>
    <row r="196" spans="1:4" x14ac:dyDescent="0.25">
      <c r="A196" t="str">
        <f t="shared" si="3"/>
        <v>Tunjuelito2015</v>
      </c>
      <c r="B196" t="s">
        <v>16</v>
      </c>
      <c r="C196">
        <v>2015</v>
      </c>
      <c r="D196">
        <v>739007.08082660998</v>
      </c>
    </row>
    <row r="197" spans="1:4" x14ac:dyDescent="0.25">
      <c r="A197" t="str">
        <f t="shared" si="3"/>
        <v>Tunjuelito2016</v>
      </c>
      <c r="B197" t="s">
        <v>16</v>
      </c>
      <c r="C197">
        <v>2016</v>
      </c>
      <c r="D197">
        <v>783051.90284387604</v>
      </c>
    </row>
    <row r="198" spans="1:4" x14ac:dyDescent="0.25">
      <c r="A198" t="str">
        <f t="shared" si="3"/>
        <v>Tunjuelito2017</v>
      </c>
      <c r="B198" t="s">
        <v>16</v>
      </c>
      <c r="C198">
        <v>2017</v>
      </c>
      <c r="D198">
        <v>788122.15789999999</v>
      </c>
    </row>
    <row r="199" spans="1:4" x14ac:dyDescent="0.25">
      <c r="A199" t="str">
        <f t="shared" si="3"/>
        <v>Tunjuelito2018</v>
      </c>
      <c r="B199" t="s">
        <v>16</v>
      </c>
      <c r="C199">
        <v>2018</v>
      </c>
      <c r="D199">
        <v>813893.75246333005</v>
      </c>
    </row>
    <row r="200" spans="1:4" x14ac:dyDescent="0.25">
      <c r="A200" t="str">
        <f t="shared" si="3"/>
        <v>Tunjuelito2019</v>
      </c>
      <c r="B200" t="s">
        <v>16</v>
      </c>
      <c r="C200">
        <v>2019</v>
      </c>
      <c r="D200">
        <v>845147.27255792206</v>
      </c>
    </row>
    <row r="201" spans="1:4" x14ac:dyDescent="0.25">
      <c r="A201" t="str">
        <f t="shared" si="3"/>
        <v>Tunjuelito2020</v>
      </c>
      <c r="B201" t="s">
        <v>16</v>
      </c>
      <c r="C201">
        <v>2020</v>
      </c>
      <c r="D201">
        <v>857739.96691903495</v>
      </c>
    </row>
    <row r="202" spans="1:4" x14ac:dyDescent="0.25">
      <c r="A202" t="str">
        <f t="shared" si="3"/>
        <v>Tunjuelito2021</v>
      </c>
      <c r="B202" t="s">
        <v>16</v>
      </c>
      <c r="C202">
        <v>2021</v>
      </c>
      <c r="D202">
        <v>902857.08917897602</v>
      </c>
    </row>
    <row r="203" spans="1:4" x14ac:dyDescent="0.25">
      <c r="A203" t="str">
        <f t="shared" si="3"/>
        <v>Tunjuelito2022</v>
      </c>
      <c r="B203" t="s">
        <v>16</v>
      </c>
      <c r="C203">
        <v>2022</v>
      </c>
      <c r="D203">
        <v>1015985.0824531</v>
      </c>
    </row>
    <row r="204" spans="1:4" x14ac:dyDescent="0.25">
      <c r="A204" t="str">
        <f t="shared" si="3"/>
        <v>Tunjuelito2023</v>
      </c>
      <c r="B204" t="s">
        <v>16</v>
      </c>
      <c r="C204">
        <v>2023</v>
      </c>
      <c r="D204">
        <v>1119107.56832209</v>
      </c>
    </row>
    <row r="205" spans="1:4" x14ac:dyDescent="0.25">
      <c r="A205" t="str">
        <f t="shared" si="3"/>
        <v>Tunjuelito2024</v>
      </c>
      <c r="B205" t="s">
        <v>16</v>
      </c>
      <c r="C205">
        <v>2024</v>
      </c>
      <c r="D205">
        <v>1177301.16187484</v>
      </c>
    </row>
    <row r="206" spans="1:4" x14ac:dyDescent="0.25">
      <c r="A206" t="str">
        <f t="shared" si="3"/>
        <v>Usaquén2011</v>
      </c>
      <c r="B206" t="s">
        <v>10</v>
      </c>
      <c r="C206">
        <v>2011</v>
      </c>
      <c r="D206">
        <v>1901146.65</v>
      </c>
    </row>
    <row r="207" spans="1:4" x14ac:dyDescent="0.25">
      <c r="A207" t="str">
        <f t="shared" si="3"/>
        <v>Usaquén2014</v>
      </c>
      <c r="B207" t="s">
        <v>10</v>
      </c>
      <c r="C207">
        <v>2014</v>
      </c>
      <c r="D207">
        <v>1933691.5490000001</v>
      </c>
    </row>
    <row r="208" spans="1:4" x14ac:dyDescent="0.25">
      <c r="A208" t="str">
        <f t="shared" si="3"/>
        <v>Usaquén2015</v>
      </c>
      <c r="B208" t="s">
        <v>10</v>
      </c>
      <c r="C208">
        <v>2015</v>
      </c>
      <c r="D208">
        <v>2064602.4668673</v>
      </c>
    </row>
    <row r="209" spans="1:4" x14ac:dyDescent="0.25">
      <c r="A209" t="str">
        <f t="shared" si="3"/>
        <v>Usaquén2016</v>
      </c>
      <c r="B209" t="s">
        <v>10</v>
      </c>
      <c r="C209">
        <v>2016</v>
      </c>
      <c r="D209">
        <v>2187652.7738925898</v>
      </c>
    </row>
    <row r="210" spans="1:4" x14ac:dyDescent="0.25">
      <c r="A210" t="str">
        <f t="shared" si="3"/>
        <v>Usaquén2017</v>
      </c>
      <c r="B210" t="s">
        <v>10</v>
      </c>
      <c r="C210">
        <v>2017</v>
      </c>
      <c r="D210">
        <v>1974102.1810000001</v>
      </c>
    </row>
    <row r="211" spans="1:4" x14ac:dyDescent="0.25">
      <c r="A211" t="str">
        <f t="shared" si="3"/>
        <v>Usaquén2018</v>
      </c>
      <c r="B211" t="s">
        <v>10</v>
      </c>
      <c r="C211">
        <v>2018</v>
      </c>
      <c r="D211">
        <v>2038655.3223186999</v>
      </c>
    </row>
    <row r="212" spans="1:4" x14ac:dyDescent="0.25">
      <c r="A212" t="str">
        <f t="shared" si="3"/>
        <v>Usaquén2019</v>
      </c>
      <c r="B212" t="s">
        <v>10</v>
      </c>
      <c r="C212">
        <v>2019</v>
      </c>
      <c r="D212">
        <v>2116939.6866957401</v>
      </c>
    </row>
    <row r="213" spans="1:4" x14ac:dyDescent="0.25">
      <c r="A213" t="str">
        <f t="shared" si="3"/>
        <v>Usaquén2020</v>
      </c>
      <c r="B213" t="s">
        <v>10</v>
      </c>
      <c r="C213">
        <v>2020</v>
      </c>
      <c r="D213">
        <v>2148482.0880275001</v>
      </c>
    </row>
    <row r="214" spans="1:4" x14ac:dyDescent="0.25">
      <c r="A214" t="str">
        <f t="shared" si="3"/>
        <v>Usaquén2021</v>
      </c>
      <c r="B214" t="s">
        <v>10</v>
      </c>
      <c r="C214">
        <v>2021</v>
      </c>
      <c r="D214">
        <v>2261492.2458577501</v>
      </c>
    </row>
    <row r="215" spans="1:4" x14ac:dyDescent="0.25">
      <c r="A215" t="str">
        <f t="shared" si="3"/>
        <v>Usaquén2022</v>
      </c>
      <c r="B215" t="s">
        <v>10</v>
      </c>
      <c r="C215">
        <v>2022</v>
      </c>
      <c r="D215">
        <v>2544857.22426373</v>
      </c>
    </row>
    <row r="216" spans="1:4" x14ac:dyDescent="0.25">
      <c r="A216" t="str">
        <f t="shared" si="3"/>
        <v>Usaquén2023</v>
      </c>
      <c r="B216" t="s">
        <v>10</v>
      </c>
      <c r="C216">
        <v>2023</v>
      </c>
      <c r="D216">
        <v>2803160.2325264998</v>
      </c>
    </row>
    <row r="217" spans="1:4" x14ac:dyDescent="0.25">
      <c r="A217" t="str">
        <f t="shared" si="3"/>
        <v>Usaquén2024</v>
      </c>
      <c r="B217" t="s">
        <v>10</v>
      </c>
      <c r="C217">
        <v>2024</v>
      </c>
      <c r="D217">
        <v>2948924.5646178699</v>
      </c>
    </row>
    <row r="218" spans="1:4" x14ac:dyDescent="0.25">
      <c r="A218" t="str">
        <f t="shared" si="3"/>
        <v>Usme2011</v>
      </c>
      <c r="B218" t="s">
        <v>12</v>
      </c>
      <c r="C218">
        <v>2011</v>
      </c>
      <c r="D218">
        <v>353339.10279999999</v>
      </c>
    </row>
    <row r="219" spans="1:4" x14ac:dyDescent="0.25">
      <c r="A219" t="str">
        <f t="shared" si="3"/>
        <v>Usme2014</v>
      </c>
      <c r="B219" t="s">
        <v>12</v>
      </c>
      <c r="C219">
        <v>2014</v>
      </c>
      <c r="D219">
        <v>428088.8823</v>
      </c>
    </row>
    <row r="220" spans="1:4" x14ac:dyDescent="0.25">
      <c r="A220" t="str">
        <f t="shared" si="3"/>
        <v>Usme2015</v>
      </c>
      <c r="B220" t="s">
        <v>12</v>
      </c>
      <c r="C220">
        <v>2015</v>
      </c>
      <c r="D220">
        <v>457070.49963171</v>
      </c>
    </row>
    <row r="221" spans="1:4" x14ac:dyDescent="0.25">
      <c r="A221" t="str">
        <f t="shared" si="3"/>
        <v>Usme2016</v>
      </c>
      <c r="B221" t="s">
        <v>12</v>
      </c>
      <c r="C221">
        <v>2016</v>
      </c>
      <c r="D221">
        <v>484311.90140976</v>
      </c>
    </row>
    <row r="222" spans="1:4" x14ac:dyDescent="0.25">
      <c r="A222" t="str">
        <f t="shared" si="3"/>
        <v>Usme2017</v>
      </c>
      <c r="B222" t="s">
        <v>12</v>
      </c>
      <c r="C222">
        <v>2017</v>
      </c>
      <c r="D222">
        <v>646541.51489999995</v>
      </c>
    </row>
    <row r="223" spans="1:4" x14ac:dyDescent="0.25">
      <c r="A223" t="str">
        <f t="shared" si="3"/>
        <v>Usme2018</v>
      </c>
      <c r="B223" t="s">
        <v>12</v>
      </c>
      <c r="C223">
        <v>2018</v>
      </c>
      <c r="D223">
        <v>667683.42243723001</v>
      </c>
    </row>
    <row r="224" spans="1:4" x14ac:dyDescent="0.25">
      <c r="A224" t="str">
        <f t="shared" si="3"/>
        <v>Usme2019</v>
      </c>
      <c r="B224" t="s">
        <v>12</v>
      </c>
      <c r="C224">
        <v>2019</v>
      </c>
      <c r="D224">
        <v>693322.46585882001</v>
      </c>
    </row>
    <row r="225" spans="1:4" x14ac:dyDescent="0.25">
      <c r="A225" t="str">
        <f t="shared" si="3"/>
        <v>Usme2020</v>
      </c>
      <c r="B225" t="s">
        <v>12</v>
      </c>
      <c r="C225">
        <v>2020</v>
      </c>
      <c r="D225">
        <v>703652.97060011595</v>
      </c>
    </row>
    <row r="226" spans="1:4" x14ac:dyDescent="0.25">
      <c r="A226" t="str">
        <f t="shared" si="3"/>
        <v>Usme2021</v>
      </c>
      <c r="B226" t="s">
        <v>12</v>
      </c>
      <c r="C226">
        <v>2021</v>
      </c>
      <c r="D226">
        <v>740665.11685368198</v>
      </c>
    </row>
    <row r="227" spans="1:4" x14ac:dyDescent="0.25">
      <c r="A227" t="str">
        <f t="shared" si="3"/>
        <v>Usme2022</v>
      </c>
      <c r="B227" t="s">
        <v>12</v>
      </c>
      <c r="C227">
        <v>2022</v>
      </c>
      <c r="D227">
        <v>833470.45599544805</v>
      </c>
    </row>
    <row r="228" spans="1:4" x14ac:dyDescent="0.25">
      <c r="A228" t="str">
        <f t="shared" si="3"/>
        <v>Usme2023</v>
      </c>
      <c r="B228" t="s">
        <v>12</v>
      </c>
      <c r="C228">
        <v>2023</v>
      </c>
      <c r="D228">
        <v>918067.707278986</v>
      </c>
    </row>
    <row r="229" spans="1:4" x14ac:dyDescent="0.25">
      <c r="A229" t="str">
        <f t="shared" si="3"/>
        <v>Usme2024</v>
      </c>
      <c r="B229" t="s">
        <v>12</v>
      </c>
      <c r="C229">
        <v>2024</v>
      </c>
      <c r="D229">
        <v>965807.22805749404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shift</vt:lpstr>
      <vt:lpstr>share</vt:lpstr>
      <vt:lpstr>localidades</vt:lpstr>
      <vt:lpstr>pob_bog</vt:lpstr>
      <vt:lpstr>migr</vt:lpstr>
      <vt:lpstr>def_hab</vt:lpstr>
      <vt:lpstr>ing_prom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Melo</dc:creator>
  <cp:lastModifiedBy>Santiago Melo</cp:lastModifiedBy>
  <dcterms:created xsi:type="dcterms:W3CDTF">2025-12-08T18:23:21Z</dcterms:created>
  <dcterms:modified xsi:type="dcterms:W3CDTF">2025-12-09T04:32:54Z</dcterms:modified>
</cp:coreProperties>
</file>